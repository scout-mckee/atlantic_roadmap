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nbcloud-my.sharepoint.com/personal/t9v3a_unb_ca/Documents/Desktop/atlantic_roadmap/"/>
    </mc:Choice>
  </mc:AlternateContent>
  <xr:revisionPtr revIDLastSave="217" documentId="11_8FB4BDE12CAAB75CA31D51FBD0E080B96DA63AE4" xr6:coauthVersionLast="47" xr6:coauthVersionMax="47" xr10:uidLastSave="{0A814454-4D98-445B-B579-6575F884F588}"/>
  <bookViews>
    <workbookView xWindow="20" yWindow="740" windowWidth="19180" windowHeight="10060" xr2:uid="{00000000-000D-0000-FFFF-FFFF00000000}"/>
  </bookViews>
  <sheets>
    <sheet name="Sheet1" sheetId="1" r:id="rId1"/>
  </sheets>
  <definedNames>
    <definedName name="_xlnm._FilterDatabase" localSheetId="0" hidden="1">Sheet1!$J$1:$J$66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7" i="1" l="1"/>
  <c r="S40" i="1"/>
  <c r="S37" i="1"/>
  <c r="S14" i="1"/>
  <c r="S25" i="1"/>
  <c r="S45" i="1"/>
  <c r="S49" i="1"/>
  <c r="S21" i="1"/>
  <c r="S18" i="1"/>
  <c r="S17" i="1"/>
  <c r="S16" i="1"/>
  <c r="S68" i="1"/>
  <c r="S22" i="1"/>
  <c r="S23" i="1"/>
  <c r="S29" i="1"/>
  <c r="S60" i="1"/>
  <c r="S50" i="1"/>
  <c r="S55" i="1"/>
  <c r="S57" i="1"/>
  <c r="S66" i="1"/>
  <c r="S9" i="1"/>
  <c r="S10" i="1"/>
  <c r="S26" i="1"/>
  <c r="S51" i="1"/>
  <c r="S59" i="1"/>
  <c r="S52" i="1"/>
  <c r="S3" i="1"/>
  <c r="S36" i="1"/>
  <c r="S34" i="1"/>
  <c r="S33" i="1"/>
  <c r="S6" i="1"/>
  <c r="S7" i="1"/>
  <c r="S8" i="1"/>
  <c r="S12" i="1"/>
  <c r="S11" i="1"/>
  <c r="S20" i="1"/>
  <c r="S15" i="1"/>
  <c r="S19" i="1"/>
  <c r="S42" i="1"/>
  <c r="S43" i="1"/>
  <c r="S24" i="1"/>
  <c r="S44" i="1"/>
  <c r="S46" i="1"/>
  <c r="S27" i="1"/>
  <c r="S28" i="1"/>
  <c r="S31" i="1"/>
  <c r="S53" i="1"/>
  <c r="S30" i="1"/>
  <c r="S48" i="1"/>
  <c r="S32" i="1"/>
  <c r="S2" i="1"/>
  <c r="S4" i="1"/>
  <c r="S13" i="1"/>
  <c r="S39" i="1"/>
  <c r="S41" i="1"/>
  <c r="S5" i="1"/>
  <c r="S38" i="1"/>
  <c r="S63" i="1"/>
  <c r="S64" i="1"/>
  <c r="S62" i="1"/>
  <c r="S56" i="1"/>
  <c r="S35" i="1"/>
  <c r="S61" i="1"/>
  <c r="S54" i="1"/>
  <c r="S58" i="1"/>
  <c r="S65" i="1"/>
  <c r="S67" i="1"/>
  <c r="R40" i="1"/>
  <c r="R37" i="1"/>
  <c r="R14" i="1"/>
  <c r="R25" i="1"/>
  <c r="R45" i="1"/>
  <c r="R49" i="1"/>
  <c r="R21" i="1"/>
  <c r="R18" i="1"/>
  <c r="R17" i="1"/>
  <c r="R16" i="1"/>
  <c r="R68" i="1"/>
  <c r="R22" i="1"/>
  <c r="R23" i="1"/>
  <c r="R29" i="1"/>
  <c r="R60" i="1"/>
  <c r="R50" i="1"/>
  <c r="R55" i="1"/>
  <c r="R57" i="1"/>
  <c r="R66" i="1"/>
  <c r="R9" i="1"/>
  <c r="R10" i="1"/>
  <c r="R26" i="1"/>
  <c r="R47" i="1"/>
  <c r="R51" i="1"/>
  <c r="R59" i="1"/>
  <c r="R52" i="1"/>
  <c r="R3" i="1"/>
  <c r="R36" i="1"/>
  <c r="R34" i="1"/>
  <c r="R33" i="1"/>
  <c r="R6" i="1"/>
  <c r="R7" i="1"/>
  <c r="R8" i="1"/>
  <c r="R12" i="1"/>
  <c r="R11" i="1"/>
  <c r="R20" i="1"/>
  <c r="R15" i="1"/>
  <c r="R19" i="1"/>
  <c r="R42" i="1"/>
  <c r="R43" i="1"/>
  <c r="R24" i="1"/>
  <c r="R44" i="1"/>
  <c r="R46" i="1"/>
  <c r="R27" i="1"/>
  <c r="R28" i="1"/>
  <c r="R31" i="1"/>
  <c r="R53" i="1"/>
  <c r="R30" i="1"/>
  <c r="R48" i="1"/>
  <c r="R32" i="1"/>
  <c r="R2" i="1"/>
  <c r="R4" i="1"/>
  <c r="R13" i="1"/>
  <c r="R39" i="1"/>
  <c r="R41" i="1"/>
  <c r="R5" i="1"/>
  <c r="R38" i="1"/>
  <c r="R63" i="1"/>
  <c r="R64" i="1"/>
  <c r="R62" i="1"/>
  <c r="R56" i="1"/>
  <c r="R35" i="1"/>
  <c r="R61" i="1"/>
  <c r="R54" i="1"/>
  <c r="R58" i="1"/>
  <c r="R65" i="1"/>
  <c r="R67" i="1"/>
</calcChain>
</file>

<file path=xl/sharedStrings.xml><?xml version="1.0" encoding="utf-8"?>
<sst xmlns="http://schemas.openxmlformats.org/spreadsheetml/2006/main" count="960" uniqueCount="506">
  <si>
    <t>Category</t>
  </si>
  <si>
    <t>Timeline</t>
  </si>
  <si>
    <t>ID</t>
  </si>
  <si>
    <t>Location Identified</t>
  </si>
  <si>
    <t>Filtering-Contributors-Categories</t>
  </si>
  <si>
    <t>Ease of Implementation</t>
  </si>
  <si>
    <t>Impact (out of 10)</t>
  </si>
  <si>
    <t>Metrics</t>
  </si>
  <si>
    <t>Scope of Implementation</t>
  </si>
  <si>
    <t>Preqrequisite initiative (s)</t>
  </si>
  <si>
    <t>owner</t>
  </si>
  <si>
    <t>contributors</t>
  </si>
  <si>
    <t>Procurement Models and Contracts</t>
  </si>
  <si>
    <t>Competition and Market Dynamics </t>
  </si>
  <si>
    <t>Develop a modular cost library with standardized cost ranges and typical modular inputs. </t>
  </si>
  <si>
    <t>2026 -2028</t>
  </si>
  <si>
    <t>PM6</t>
  </si>
  <si>
    <t>PEI</t>
  </si>
  <si>
    <t>Manufacturers, Developers &amp; General Contractors, Provincial Government</t>
  </si>
  <si>
    <t>Medium</t>
  </si>
  <si>
    <t>Number of manufacturers using the directory
Reduction in estimate variability between suppliers
Fewer lender RFIs about project costing</t>
  </si>
  <si>
    <t xml:space="preserve">Regional </t>
  </si>
  <si>
    <t>Collect baseline cost data from Atlantic manufacturers (module production, transport, installation).
Create standardized cost bands (Low/Medium/High) for modules, logistics, and site work.</t>
  </si>
  <si>
    <t>Provincial Government</t>
  </si>
  <si>
    <t>Provincial Government, Manufacturers, Developers &amp; General Contractors</t>
  </si>
  <si>
    <t>Procurement Processes </t>
  </si>
  <si>
    <t>Include clear schedule requirements in contracts and link payments to project signing, factory-based project progress, delivery and installation milestones. </t>
  </si>
  <si>
    <t>PM14</t>
  </si>
  <si>
    <t>Provincial Government, Manufacturers, Transportation &amp; Logistics Providers, Developers &amp; General Contractors, Municipal Government</t>
  </si>
  <si>
    <t>Easy</t>
  </si>
  <si>
    <t>Number of tenders including schedule enforcement
Reduction in installation or delivery delays</t>
  </si>
  <si>
    <t>Provincial, regional</t>
  </si>
  <si>
    <t>Identify modular-specific scheduling needs
Update contract templates to include enforceable schedule milestones</t>
  </si>
  <si>
    <t>Provincial Government, Municipal Government</t>
  </si>
  <si>
    <t>Manufacturers, Developers &amp; General Contractors, Transportation &amp; Logistics Providers</t>
  </si>
  <si>
    <t>Financing and Insurance</t>
  </si>
  <si>
    <t>Cost Structure </t>
  </si>
  <si>
    <t>Use existing MURB VMC projects as a case study to identify cost reductions or work with all forms of OSC to determine the best approach to buildings MURBs on PEI. </t>
  </si>
  <si>
    <t>FI7</t>
  </si>
  <si>
    <t>Manufacturers, Developers &amp; General Contractors, Provincial Government, Finance &amp; Insurance/Business Services, Transportation &amp; Logistics Providers</t>
  </si>
  <si>
    <t>Reduction in module transport cost
Number of projects participating in shared logistics
Increased adoption of modular for multi-unit builds</t>
  </si>
  <si>
    <t>Provincial</t>
  </si>
  <si>
    <t>Map annual modular demand (public + private) in PEI
Identify suppliers shipping to PEI and shipment patterns
Pre-negotiate ferry/logistics windows
Pre-qualify crane + install contractors willing to participate
Develop cost-sharing model among participating projects</t>
  </si>
  <si>
    <t>Manufacturers, Developers &amp; General Contractors, Transportation &amp; Logistics Providers, Finance &amp; Insurance/Business Services</t>
  </si>
  <si>
    <t>Skilled Trades &amp; Labour Availability </t>
  </si>
  <si>
    <t>WD14</t>
  </si>
  <si>
    <t>Provincial Government, Industry Associations</t>
  </si>
  <si>
    <t>Number of training sessions hosted
Number of attendees trained</t>
  </si>
  <si>
    <t>Workshop scheduling and content planning</t>
  </si>
  <si>
    <t>Industry Associations</t>
  </si>
  <si>
    <t>Design and Standards </t>
  </si>
  <si>
    <t>Ensure CSA A277 certification and emphasize the importance of the builds needing to meet building code of final building location. </t>
  </si>
  <si>
    <t>PM9</t>
  </si>
  <si>
    <t>NL, NS</t>
  </si>
  <si>
    <t>Provincial Government, Technical Professionals, Manufacturers, Finance &amp; Insurance/Business Services</t>
  </si>
  <si>
    <t>Reduction in redesign requests post-award
Number of proposals with compliant stamped engineering</t>
  </si>
  <si>
    <t>Add requirement for stamped structural verification in all modular RFPs
Provide bidders with local wind/snow/climate indices
Require early coordination with Atlantic-licensed engineers</t>
  </si>
  <si>
    <t>Manufacturers, Technical Professionals, Finance &amp; Insurance/Business Services</t>
  </si>
  <si>
    <t>Policy and Regulatory</t>
  </si>
  <si>
    <t>Government Coordination </t>
  </si>
  <si>
    <t>Designate a VMC Liaison Officer in NL. </t>
  </si>
  <si>
    <t>PR7</t>
  </si>
  <si>
    <t>NL</t>
  </si>
  <si>
    <t>Provincial Government, Technical Professionals, Municipal Government</t>
  </si>
  <si>
    <t>Number of modular projects supported by the liaison
Reduction in RFI volume related to outdated policies
Faster issue resolution times (before vs after designation)
Reduction in approval delays</t>
  </si>
  <si>
    <t>Assign an existing staff member in Service NL as Modular Liaison Officer (no new hiring needed).
Establish mandate: resolve outdated-policy conflicts, coordinate with NL Housing, guide modular projects.
Set up an intake channel like email or form for modular-related questions.
Hold initial coordination meetings with NL Housing and priority municipalities.
Start tracking outdated policies to inform future modernization efforts.</t>
  </si>
  <si>
    <t>Provincial Government, Municipal Government, Technical Professionals</t>
  </si>
  <si>
    <t>Inspections </t>
  </si>
  <si>
    <t>Standardize and promote CSA A277 adoption across all municipalities through aligned policy, consistent inspection practices, targeted inspector education, and certification incentives.</t>
  </si>
  <si>
    <t>PR10</t>
  </si>
  <si>
    <t>Provincial Government, Manufacturers</t>
  </si>
  <si>
    <t>Number of manufacturers receiving rebate
Number of manufacturers getting CSA certification
Increase in modular supply in NL</t>
  </si>
  <si>
    <t>Define the rebate criteria, including which manufacturers are eligible and what conditions must be met.
Confirm which certification costs are eligible.
Set up a simple application form so manufacturers can submit proof of certification to receive the rebate.</t>
  </si>
  <si>
    <t>Transportation and Logistics</t>
  </si>
  <si>
    <t>Module size and road restrictions </t>
  </si>
  <si>
    <t>Develop a pre-approved OSC route and work with ferry companies to provide discounted or off-peak ferry rates for projects carrying critical infrastructure (e.g., affordable housing). </t>
  </si>
  <si>
    <t>TL5</t>
  </si>
  <si>
    <t>Provincial Government, Transportation &amp; Logistics Providers</t>
  </si>
  <si>
    <t>Number of ferry trips using discounted/off-peak rates
Cost savings
On-time deliveries</t>
  </si>
  <si>
    <t>Agreements with ferry operators
Approval of subsidy program</t>
  </si>
  <si>
    <t>Consider design for manufacturing, transportation and assembly by province with the provinces transportation constraints in mind. </t>
  </si>
  <si>
    <t>Local, regional, national</t>
  </si>
  <si>
    <t>Identify training (e.g., AMC certificate) for existing municipal staff, increase staffing, digitize processes (e.g., permitting), and adopt pre-approved OSC designs. </t>
  </si>
  <si>
    <t>WD12</t>
  </si>
  <si>
    <t>Provincial Government, Academic/Training Institutions</t>
  </si>
  <si>
    <t>Industry Associations, Academic/Training Institutions</t>
  </si>
  <si>
    <t>Include an OSC integrator or experienced GC/CM as part of the project team early in the design phase to support OSC feasibility assessments and coordinate project timelines, including alignment with utility providers and other suppliers.</t>
  </si>
  <si>
    <t>PM18</t>
  </si>
  <si>
    <t>NB, Atlantic</t>
  </si>
  <si>
    <t>Manufacturers, Developers &amp; General Contractors, Provincial Government, Municipal Government, Transportation &amp; Logistics Providers</t>
  </si>
  <si>
    <t>Number of tenders with confirmed servicing dates
Reduction in installation delays caused by utilities</t>
  </si>
  <si>
    <t>Early coordination meeting with utility providers
Confirm servicing capacity and timelines</t>
  </si>
  <si>
    <t>Manufacturers, Developers &amp; General Contractors, Municipal Government, Transportation &amp; Logistics Providers</t>
  </si>
  <si>
    <t>Enable performance-based criteria. </t>
  </si>
  <si>
    <t>PM15</t>
  </si>
  <si>
    <t>NB</t>
  </si>
  <si>
    <t>Provincial Government, Manufacturers, Technical Professionals, Developers &amp; General Contractors</t>
  </si>
  <si>
    <t>Number of RFPs using performance-based requirements
Increase in modular submissions
Reduction in redesign/change-order costs</t>
  </si>
  <si>
    <t>Identify which requirements can be performance-based instead of prescriptive
Train evaluators on comparing modular proposals
Update RFP templates to include flexible requirements</t>
  </si>
  <si>
    <t>Manufacturers, Developers &amp; General Contractors, Technical Professionals</t>
  </si>
  <si>
    <t>NB, PEI</t>
  </si>
  <si>
    <t>Create consistent RFP processes across the four provinces and provide an FAQ and training session annually. </t>
  </si>
  <si>
    <t>PM12</t>
  </si>
  <si>
    <t>Reduction in incomplete modular submissions
Increase in number of modular bidders
Fewer administrative RFIs</t>
  </si>
  <si>
    <t>Identify common missing/incorrect items in past submissions</t>
  </si>
  <si>
    <t>Manufacturers, Developers &amp; General Contractors</t>
  </si>
  <si>
    <t>Include as much detail in the RFPs as possible (e.g., geotechnical report, potential laydown areas, potential overhead constraints, etc.) as well as images of the site to ensure proponents provide an accurate estimate. </t>
  </si>
  <si>
    <t>PM13</t>
  </si>
  <si>
    <t>Attitudes and Knowledge Gaps </t>
  </si>
  <si>
    <t>Adopt the MMC Definition Framework across provincial and municipal policies, procurement documents and contracts. </t>
  </si>
  <si>
    <t>PR2</t>
  </si>
  <si>
    <t>Municipal Government, Provincial Government, Federal Government, Manufacturers, Developers &amp; General Contractors</t>
  </si>
  <si>
    <t>Number of municipalities adopting the terminology
Reduction in terminology-related rejections
Consistency in NB Housing program applications</t>
  </si>
  <si>
    <t>Local, provincial</t>
  </si>
  <si>
    <t>Drafting of a concise modular terminology list based on CSA standards.
Internal review by NB Housing, DLGLR, and municipal planners to confirm usability.
Development of a short implementation memo instructing municipalities to adopt the terminology.</t>
  </si>
  <si>
    <t>Provincial Government, Manufacturers, Federal Government, Developers &amp; General Contractors, Municipal Government</t>
  </si>
  <si>
    <t>Develop an NB Healthy Housing Planning Note linking housing and year-round safe employment to population health. </t>
  </si>
  <si>
    <t>PR3</t>
  </si>
  <si>
    <t>Municipal Government, Provincial Government</t>
  </si>
  <si>
    <t>Number of planning decisions referencing the Note.</t>
  </si>
  <si>
    <t>Drafting of the Healthy Housing Planning Note by NB Public Health with input from planning staff.
Review and approval by DLGLR for integration into municipal planning processes.
Distribution and short briefing session for development officers and planning commissions.</t>
  </si>
  <si>
    <t>Permitting and Approvals </t>
  </si>
  <si>
    <t>Encourage the use of panelized (category 2) or other forms of OSC that can meet requirements within the Heritage Conservation Act. </t>
  </si>
  <si>
    <t>PR15</t>
  </si>
  <si>
    <t>Provincial Government, Developers &amp; General Contractors, Technical Professionals</t>
  </si>
  <si>
    <t>Reduction in unplanned heritage-related delays
Fewer RFIs to the Heritage Branch</t>
  </si>
  <si>
    <t>Confirm which heritage triggers apply in unincorporated areas
Summarize permit types (site alteration, impact assessment)
Draft short guidance text for Navigation Guide
Validate with NB Heritage Branch</t>
  </si>
  <si>
    <t>Identify OSC delivery routes and infrastructure conflict-point database and when favourable use alternate construction methods to volumetric modular. </t>
  </si>
  <si>
    <t>2026-2027</t>
  </si>
  <si>
    <t>TL15</t>
  </si>
  <si>
    <t>Provincial Government, Transportation &amp; Logistics Providers, Developers &amp; General Contractors, Municipal Government</t>
  </si>
  <si>
    <t>Number of conflicts identified in database
Reduction in transport delays due to conflicts</t>
  </si>
  <si>
    <t>Database of infrastructure conflict points developed</t>
  </si>
  <si>
    <t>Developers &amp; General Contractors, Municipal Government, Transportation &amp; Logistics Providers</t>
  </si>
  <si>
    <t>Work with NBDTI and local municipalities to consider OSC delivery on detour routes. </t>
  </si>
  <si>
    <t>TL6</t>
  </si>
  <si>
    <t>Difficult</t>
  </si>
  <si>
    <t>Condition of delivery routes
Reduced transport incidents
Maintenance logs</t>
  </si>
  <si>
    <t>Identification of modular delivery routes
Allocation of maintenance funding</t>
  </si>
  <si>
    <t>Introduce a OSC supplier pre-qualification pathway based on the factory’s CSA certification. </t>
  </si>
  <si>
    <t>FI8</t>
  </si>
  <si>
    <t>Manufacturers, Provincial Government, Finance &amp; Insurance/Business Services</t>
  </si>
  <si>
    <t>Number of modular tenders allowing pre-qualified suppliers without full bonding
Increase in bid participation
Reduced project cancellations due to lack of bonded bidders</t>
  </si>
  <si>
    <t>Define modular-specific qualification criteria
Review manufacturer QA, capacity, and safety documentation</t>
  </si>
  <si>
    <t>Manufacturers, Finance &amp; Insurance/Business Services</t>
  </si>
  <si>
    <t>Expand OSC-focused trade training, fast-track upskilling, and introduce industry-supported apprenticeships. </t>
  </si>
  <si>
    <t>WD6</t>
  </si>
  <si>
    <t>Provincial Government, Academic/Training Institutions, Industry Associations</t>
  </si>
  <si>
    <t>Number of apprenticeships created
Program enrollment
Industry placement rates</t>
  </si>
  <si>
    <t>Regional</t>
  </si>
  <si>
    <t>College/unions agreement
Curriculum development
Employer sponsorship secured</t>
  </si>
  <si>
    <t>Provincial Government, Industry Associations, Academic/Training Institutions</t>
  </si>
  <si>
    <t>WD11</t>
  </si>
  <si>
    <t>Provincial Government, Federal Government, Municipal Government</t>
  </si>
  <si>
    <t>Workforce Retention &amp; Recruitment </t>
  </si>
  <si>
    <t>Consult with Indigenous communities to identify initiatives to overcome this barrier. </t>
  </si>
  <si>
    <t>WD20</t>
  </si>
  <si>
    <t>Provincial Government, Federal Government, Academic/Training Institutions, Indigenous &amp; Community Organizations</t>
  </si>
  <si>
    <t>Number of Indigenous-owned businesses supported
DEI training completion
Workforce participation rates</t>
  </si>
  <si>
    <t>Funding and program approval
DEI curriculum developed</t>
  </si>
  <si>
    <t>Provincial Government, Indigenous &amp; Community Organizations</t>
  </si>
  <si>
    <t>Use design–build procurement on projects that warrant a DB approach (e.g., &gt;8 units). </t>
  </si>
  <si>
    <t>PM4</t>
  </si>
  <si>
    <t>NS</t>
  </si>
  <si>
    <t>Provincial Government, Manufacturers, Developers &amp; General Contractors, Municipal Government</t>
  </si>
  <si>
    <t>Increase in number of modular bidders
Reduction in redesign hours or change orders</t>
  </si>
  <si>
    <t>Identify modular-suitable projects early
Issue RFPs using design–build method</t>
  </si>
  <si>
    <t>Manufacturers, Developers &amp; General Contractors, Municipal Government</t>
  </si>
  <si>
    <t>Work with federal and provincial government to identify serviced or partially serviced small sites and combine to tender larger projects for one DB team. </t>
  </si>
  <si>
    <t>PM5</t>
  </si>
  <si>
    <t>Provincial Government, Manufacturers, Technical Professionals, Municipal Government</t>
  </si>
  <si>
    <t>Number of parcels identified and pre-cleared
Number of parcels included in modular tenders
Increase in modular-suitable land availability</t>
  </si>
  <si>
    <t>Inventory small provincial &amp; municipal parcels
Basic servicing and access assessments
Municipal confirmation of allowable uses</t>
  </si>
  <si>
    <t>Manufacturers, Municipal Government, Technical Professionals</t>
  </si>
  <si>
    <t>Involve an OSC integrator or mature GC/CM in projects &gt;8 units to support on- and off-site coordination. </t>
  </si>
  <si>
    <t>PR8</t>
  </si>
  <si>
    <t>Provincial Government, Technical Professionals</t>
  </si>
  <si>
    <t>Reduction in coordination issues reported.
Reduction in duplicated site activities or installation delays
Faster turnaround for modular installation scheduling
Number of municipalities using it.
Feedback from contractors and building officials on clarity</t>
  </si>
  <si>
    <t>Map existing modular workflows (factory → transport → installation → municipal inspection → site finishing).
Identify common coordination problems across NS municipalities.
Draft a unified workflow, responsibility matrix, and communication sequence.
Engage NS Building Officials Association and municipalities for review.
Pilot the protocol on 1–2 NSPHA modular projects and refine.
Roll out province-wide through municipal channels and inspector associations.</t>
  </si>
  <si>
    <t>Technical Professionals</t>
  </si>
  <si>
    <t>Atlantic</t>
  </si>
  <si>
    <t>Damage and Protection </t>
  </si>
  <si>
    <t>Identify an OSC integrator role in the project team to ensure proper planning and location of heavy equipment for transportation, erection and installation. </t>
  </si>
  <si>
    <t>Collaborate across the region to compile and document jurisdiction-specific overload escort and permit requirements for urban and rural centres in a single reference document, to eliminate confusion across the sector.</t>
  </si>
  <si>
    <t>TL9</t>
  </si>
  <si>
    <t>Number of pre-approved routes
Reduced police escort requirements
Transport time savings</t>
  </si>
  <si>
    <t>Mapping of routes
Coordination with police and municipal authorities</t>
  </si>
  <si>
    <t>Provincial Government, Developers &amp; General Contractors, Municipal Government, Transportation &amp; Logistics Providers</t>
  </si>
  <si>
    <t>TL7</t>
  </si>
  <si>
    <t>Industry Associations, Provincial Government, Municipal Government, Municipal Government</t>
  </si>
  <si>
    <t>Pre-approved design adoption
Reduced transport-related issues</t>
  </si>
  <si>
    <t>Development of standard modular dimensions
Coordination with local authorities</t>
  </si>
  <si>
    <t>Municipal Government, Industry Associations</t>
  </si>
  <si>
    <t>Site access and Storage constraints </t>
  </si>
  <si>
    <t>Create designated transportation routes with temporary staging yards for critical projects. </t>
  </si>
  <si>
    <t>Local</t>
  </si>
  <si>
    <t>Access to Financing </t>
  </si>
  <si>
    <t xml:space="preserve">Create and share a lending brief with private investors (banks, large REIT) and institutional investors in the region and outside Atlantic Canada to improve lender understanding of financing options and expand mortgage options. </t>
  </si>
  <si>
    <t>FI4</t>
  </si>
  <si>
    <t>NS, NB</t>
  </si>
  <si>
    <t>Improve scheduling efficiency. </t>
  </si>
  <si>
    <t>WD13</t>
  </si>
  <si>
    <t>Manufacturers, Municipal Government</t>
  </si>
  <si>
    <t>Compliance with noise scheduling
Reduced labour downtime</t>
  </si>
  <si>
    <t>Development of optimized scheduling guidelines
Coordination with local municipalities</t>
  </si>
  <si>
    <t>Manufacturers</t>
  </si>
  <si>
    <t>Create streamlined credential-recognition pathways for internationally trained workers and consult with Indigenous communities to understand how to best overcome the barrier. </t>
  </si>
  <si>
    <t>WD5</t>
  </si>
  <si>
    <t>Industry Associations, Indigenous &amp; Community Organizations, Provincial Government, Academic/Training Institutions</t>
  </si>
  <si>
    <t>Number of foreign-trained workers completing recognition process
Number of culturally appropriate programs delivered
Participation by Indigenous students</t>
  </si>
  <si>
    <t>Agreements with credentialing bodies
Partnerships with Indigenous organizations
Development of training content</t>
  </si>
  <si>
    <t>Industry Associations, Academic/Training Institutions, Indigenous &amp; Community Organizations</t>
  </si>
  <si>
    <t xml:space="preserve">Collaborate across Atlantic post-secondary institutions to integrate OSC/MMC training through updating curricula, offering micro-credentials, workshops, or other training opportunities (e.g. AMC certificate). </t>
  </si>
  <si>
    <t>WD4</t>
  </si>
  <si>
    <t>Academic/Training Institutions, Provincial Government</t>
  </si>
  <si>
    <t>Enrollment numbers in NSCC modular courses
Campaign reach (social media, schools)
Number of applications received</t>
  </si>
  <si>
    <t>Local. provincial</t>
  </si>
  <si>
    <t>Marketing campaign materials
Coordination with NSCC and provincial education authorities</t>
  </si>
  <si>
    <t>Academic/Training Institutions</t>
  </si>
  <si>
    <t>Create a funding stream (through Opportunities NB, Invest NS, Innovation PEI and NL’s department of IET) for manufacturers to access and become CSA certified. </t>
  </si>
  <si>
    <t>PM1</t>
  </si>
  <si>
    <t>Manufacturers, Developers &amp; General Contractors, Finance &amp; Insurance/Business Services</t>
  </si>
  <si>
    <t>Increase in number of pre-qualified modular suppliers
Reduction in average bid prices
Number of projects receiving more than 1–2 bids</t>
  </si>
  <si>
    <t>Compile list of CSA A277/A660-certified manufacturers in ON/QC
Create modular-specific pre-qualification criteria
Issue pre-qualification call</t>
  </si>
  <si>
    <t>Use RFIs and RFQs to pre-qualify proponents, scoring them on KPIs beyond lowest bid. Include environment, social and culture KPIs in the proponent assessment process of an RFP. </t>
  </si>
  <si>
    <t>PM2</t>
  </si>
  <si>
    <t>Developers &amp; General Contractors, Manufacturers, Provincial Government, Federal Government, Municipal Government</t>
  </si>
  <si>
    <t>Number of RFPs using separated cost line items
Increase in modular bids submitted
Reduction in modular bid disqualification due to upfront costs</t>
  </si>
  <si>
    <t>Update procurement templates to require separated cost line items
Provide short internal guidance to evaluators</t>
  </si>
  <si>
    <t>Publish a rolling 3-4-year forecast of OSC-suitable (VMC or category 1 and panelized or category 2) public housing projects. </t>
  </si>
  <si>
    <t>PM3</t>
  </si>
  <si>
    <t>Number of modular projects included in forecast
Manufacturer participation in bids
Increase in factory expansion/production planning</t>
  </si>
  <si>
    <t>Identify which upcoming public housing projects are modular-compatible
Collect capital plans from municipalities + provinces</t>
  </si>
  <si>
    <t>PM7</t>
  </si>
  <si>
    <t>Technical Professionals, Manufacturers, Developers &amp; General Contractors, Provincial Government</t>
  </si>
  <si>
    <t>Fewer redesign hours
Reduction in change orders
Number of projects identifying modular feasibility early</t>
  </si>
  <si>
    <t>Early design teams receive modular design parameters (grid, module sizes, MEP zones)
Consultation with manufacturers during concept design
Include modular feasibility as a required step in RFP scopes</t>
  </si>
  <si>
    <t>Manufacturing and Supply Chain </t>
  </si>
  <si>
    <t>Issue bundled OSC procurement approaches (e.g., offtake agreements) to de-risk capacity investment in the regional manufacturers and add regional logistics supports. </t>
  </si>
  <si>
    <t>PM17</t>
  </si>
  <si>
    <t>Manufacturers, Provincial Government, Transportation &amp; Logistics Providers, Developers &amp; General Contractors, Finance &amp; Insurance/Business Services, Municipal Government</t>
  </si>
  <si>
    <t>Number of sites included in bundled procurements
Factory production allocated to Atlantic projects
Reduction in transport delays</t>
  </si>
  <si>
    <t> </t>
  </si>
  <si>
    <t>Manufacturers, Developers &amp; General Contractors, Municipal Government, Transportation &amp; Logistics Providers, Finance &amp; Insurance/Business Services</t>
  </si>
  <si>
    <t>Encourage tenders to use OSC alternatives. </t>
  </si>
  <si>
    <t>PM10</t>
  </si>
  <si>
    <t>Provincial Government, Manufacturers, Municipal Government, Developers &amp; General Contractors</t>
  </si>
  <si>
    <t>Number of tenders allowing modular alternatives
Number of modular alternative submissions</t>
  </si>
  <si>
    <t>Add optional modular submission line to tender documents
Provide evaluators guidance on comparing modular vs traditional approaches</t>
  </si>
  <si>
    <t>Define OSC-specific responsibilities in trade scopes and use a standardized site-readiness checklist. </t>
  </si>
  <si>
    <t>PM16</t>
  </si>
  <si>
    <t>Provincial Government, Manufacturers, Developers &amp; General Contractors, Technical Professionals</t>
  </si>
  <si>
    <t>Fewer installation delays due to unclear responsibilities</t>
  </si>
  <si>
    <t>Review typical modular scope boundaries (factory vs. on-site)
Identify common interface failures on past projects
Update procurement templates with modular-specific scope language</t>
  </si>
  <si>
    <t>Support the public and private sector in education and create a regional OSC approval pathway supported by coordinated public-awareness program. </t>
  </si>
  <si>
    <t>PR1</t>
  </si>
  <si>
    <t>Municipal Government, Provincial Government, Federal Government, Manufacturers</t>
  </si>
  <si>
    <t>Number of projects approved
Approval time
Number of departments using pathway</t>
  </si>
  <si>
    <t>Development of clear eligibility criteria for selecting modular demonstration projects.
Creation of a standardized modular submission package for applicants.
Preparation of a modular review checklist for inspectors and permitting staff.</t>
  </si>
  <si>
    <t>Manufacturers, Federal Government, Municipal Government</t>
  </si>
  <si>
    <t>Codes and Standards </t>
  </si>
  <si>
    <t>At a regional level, work with the NRC to create a technical committee to update the code for OSC and educate planners, architects, building officials and relevant industry members. </t>
  </si>
  <si>
    <t>PR4</t>
  </si>
  <si>
    <t>Provincial Government, Technical Professionals,  Manufacturers</t>
  </si>
  <si>
    <t>Change in average permit review times for modular projects (before vs after guide)
Number of municipalities that formally adopt or reference the AM-CNG in procedures
Number of RFIs or code-related clarifications requested on modular submissions (aim: decrease)
Number of building officials / plan reviewers trained using the guide</t>
  </si>
  <si>
    <t>Inventory of existing modular-related code interpretations and issues
Inventory of existing modular-related code interpretations and issues
Draft modular-specific code navigation guide for review
Pilot the guide with a small set of municipalities / projects</t>
  </si>
  <si>
    <t>Manufacturers, Technical Professionals</t>
  </si>
  <si>
    <t>Establish the Atlantic Off-site Housing Innovation Network with a clear mandate including monthly (or quarterly inter-provincial meetings) with up to two points-of-contact reporting back to provincial committees. </t>
  </si>
  <si>
    <t>PR6</t>
  </si>
  <si>
    <t>Provincial Government, Municipal Government, Manufacturers, Federal Government</t>
  </si>
  <si>
    <t>Number of coordination meetings held
Number of cross-department issues resolved
Feedback from departments on clarity of roles</t>
  </si>
  <si>
    <t>Identify representatives from Housing, Planning, Code, and Procurement in each province.
Agree on basic Terms of Reference (purpose: modular-related coordination only).
Create a shared information template for departments to submit updates/issues.
Schedule quarterly virtual meetings (Atlantic-wide).</t>
  </si>
  <si>
    <t>PR9</t>
  </si>
  <si>
    <t>Reduction in duplicated inspection steps
% of Atlantic municipalities using the acceptance framework
Shortened inspection timelines for modular projects
Fewer RFI (Requests for Information) from inspectors
Improved manufacturer feedback on municipal acceptance</t>
  </si>
  <si>
    <t>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
Draft the shared Framework</t>
  </si>
  <si>
    <t>Use design catalogues, such as the CMHC Housing Design Catalogue or develop municipality-specific design catalogues, to pre-approve permitting for projects built according to the catalogue designs.</t>
  </si>
  <si>
    <t>PR12</t>
  </si>
  <si>
    <t>Provincial Government, Municipal Government, Technical Professionals, Developers &amp; General Contractors</t>
  </si>
  <si>
    <t>Average modular permitting time before vs. after track
Number of repeatable modular designs pre-verified
Increase in modular applications submitted</t>
  </si>
  <si>
    <t>Identify which modular designs can be pre-verified.
Provide municipalities with CSA certification details.
Update municipal workflows to skip factory-completed checks.</t>
  </si>
  <si>
    <t>Developers &amp; General Contractors, Municipal Government, Technical Professionals</t>
  </si>
  <si>
    <t>Undertake a review of by-laws to minimize the impact on OSC designed buildings and increase housing supply in the municipality.  </t>
  </si>
  <si>
    <t>PR13</t>
  </si>
  <si>
    <t xml:space="preserve">Provincial Government, Municipal Government, Technical Professionals, Developers &amp; General Contractors </t>
  </si>
  <si>
    <t>Improved clarity in pre-application reviews</t>
  </si>
  <si>
    <t>Local, provincial, regional</t>
  </si>
  <si>
    <t>Review existing zoning categories across sample municipalities.
Identify where modular fits (e.g., single-unit, multi-unit, accessory).
Validate with municipal planners and development officers.</t>
  </si>
  <si>
    <t>Create and publish a guide and then digitize the processes provide clarity to individuals involved in the approval process and all builders looking to build in the municipality.  </t>
  </si>
  <si>
    <t>PR14</t>
  </si>
  <si>
    <t>Provincial Government, Municipal Government, Manufacturers, Developers &amp; General Contractors</t>
  </si>
  <si>
    <t>Reduction in process-related RFIs for modular files</t>
  </si>
  <si>
    <t>Review current approval steps across select municipalities.
Define departmental roles and responsibilities clearly.
Draft the Approval Pathway section and integrate it into the PR4 Navigation Guide.
Validate with municipal planners and building officials.</t>
  </si>
  <si>
    <t>Work with CCDC to create contract templates which identify roles and responsibilities of all parties and how project conflicts (module or panel damage) will be rectified.  </t>
  </si>
  <si>
    <t>TL11</t>
  </si>
  <si>
    <t>Industry Associations, Developers &amp; General Contractors, Transportation &amp; Logistics Providers, Manufacturers, Finance &amp; Insurance/Business Services</t>
  </si>
  <si>
    <t xml:space="preserve">
Reduction in disputes</t>
  </si>
  <si>
    <t>Development of formal insurance and liability agreements
Stakeholder alignment</t>
  </si>
  <si>
    <t>Industry Associations, Finance &amp; Insurance/Business Services</t>
  </si>
  <si>
    <t>Manufacturers, Developers &amp; General Contractors, Transportation &amp; Logistics Providers, Industry Associations</t>
  </si>
  <si>
    <t>In parallel, work with the HPBR Lab on R&amp;D to eliminate damages during transportation, erection and assembly. </t>
  </si>
  <si>
    <t>TL12</t>
  </si>
  <si>
    <t>Manufacturers, Transportation &amp; Logistics Providers, Developers &amp; General Contractors, Academic/Training Institutions, Industry Associations</t>
  </si>
  <si>
    <t>Number of training sessions delivered
Reports of damage to modules during transportation</t>
  </si>
  <si>
    <t>National</t>
  </si>
  <si>
    <t>Transport best-practice guidelines finalized
Training content developed</t>
  </si>
  <si>
    <t>Manufacturers, Developers &amp; General Contractors, Transportation &amp; Logistics Providers, Industry Associations, Academic/Training Institutions</t>
  </si>
  <si>
    <t>Collaborate across the region to develop overload escort/ permit requirements for both urban and rural centres to eliminate confusion across the sector. </t>
  </si>
  <si>
    <t>TL1</t>
  </si>
  <si>
    <t>Provincial Government, Municipal Government, Transportation &amp; Logistics Providers, Developers &amp; General Contractors, Municipal Government</t>
  </si>
  <si>
    <t>Number of agreements signed
Reduced delays due to permit harmonization
Number of municipalities participating</t>
  </si>
  <si>
    <t>Regulatory coordination between provinces
Legal framework for transport agreements</t>
  </si>
  <si>
    <t>Tl2</t>
  </si>
  <si>
    <t>Tl14</t>
  </si>
  <si>
    <t>FI1</t>
  </si>
  <si>
    <t>Provincial Government, Finance &amp; Insurance/Business Services, Federal Government</t>
  </si>
  <si>
    <t>Gather modular timeline + risk data from manufacturers</t>
  </si>
  <si>
    <t>Provincial Government, Finance &amp; Insurance/Business Services</t>
  </si>
  <si>
    <t>Federal Government, Finance &amp; Insurance/Business Services</t>
  </si>
  <si>
    <t>Access to CMHC Funding</t>
  </si>
  <si>
    <t>Collaborate with CMHC to establish a CMHC–regional coordination group.</t>
  </si>
  <si>
    <t>FI9</t>
  </si>
  <si>
    <t>Federal Government, Developers &amp; General Contractors, Finance &amp; Insurance/Business Services, Technical Professionals, Provincial Government</t>
  </si>
  <si>
    <t>Reduced CMHC approval time for modular files
Increase in successful modular applications</t>
  </si>
  <si>
    <t>Collect standard modular factory timelines from local manufacturers
Compare with CMHC approval timelines
Identify specific misalignment points
Draft modular timeline recommendations</t>
  </si>
  <si>
    <t>Provincial Government, Federal Government</t>
  </si>
  <si>
    <t>Developers &amp; General Contractors, Technical Professionals, Finance &amp; Insurance/Business Services</t>
  </si>
  <si>
    <t>Add OSC-friendly payment frameworks and liquidity supports. </t>
  </si>
  <si>
    <t>PM8</t>
  </si>
  <si>
    <t>Number of RFPs using performance-based criteria
Reduction in redesign hours
Fewer modular bids rejected due to prescriptive design conflicts
Increase in modular participation in tenders</t>
  </si>
  <si>
    <t>Update design scopes to remove prescriptive structural and layout requirements
Provide architects a set of modular design parameters (module sizes, grid, spans)
Include modular considerations during concept/schematic design stages</t>
  </si>
  <si>
    <t>Educate the supply chain and develop an OSC cost library with standardized cost ranges (e.g., RS Means). </t>
  </si>
  <si>
    <t>FI6</t>
  </si>
  <si>
    <t>Manufacturers, Developers &amp; General Contractors, Provincial Government, Finance &amp; Insurance/Business Services</t>
  </si>
  <si>
    <t>Provincial Government, Manufacturers, Developers &amp; General Contractors, Finance &amp; Insurance/Business Services</t>
  </si>
  <si>
    <t>Incentives &amp; Policy </t>
  </si>
  <si>
    <t>Establish a pre-manufactured OSC index, with associated fee reductions and expedited approvals for pre-verified OSC designs.</t>
  </si>
  <si>
    <t>FI16</t>
  </si>
  <si>
    <t>Manufacturers, Provincial Government, Federal Government, Indigenous &amp; Community Organizations, Developers &amp; General Contractors</t>
  </si>
  <si>
    <t>Number of modular units delivered under the credit
Reduction in per-unit cost for provincial housing builds
Increase in manufacturer production volume</t>
  </si>
  <si>
    <t>Determine per-unit credit value (e.g., $2,000–$5,000/unit)
Set eligibility (affordable housing, supportive housing, repeatable modular designs)
Secure small annual budget allocation
Develop simple claim process at delivery or installation</t>
  </si>
  <si>
    <t>Manufacturers, Federal Government, Developers &amp; General Contractors, Indigenous &amp; Community Organizations</t>
  </si>
  <si>
    <t>Insurance </t>
  </si>
  <si>
    <t>Work with the insurance sector to develop a unified OSC insurance model with clear liability transfer. </t>
  </si>
  <si>
    <t>FI13</t>
  </si>
  <si>
    <t>Manufacturers, Transportation &amp; Logistics Providers, Finance &amp; Insurance/Business Services, Federal Government, Developers &amp; General Contractors</t>
  </si>
  <si>
    <t>Number of modular projects using wrap-up all-risk coverage
Reduction in duplicated premiums
Fewer liability disputes
Warranty acceptance rate for modular modules
Lower overall insurance cost per unit</t>
  </si>
  <si>
    <t>Manufacturers + developers jointly approach insurance brokers
Brokers prepare integrated wrap-up policy options
Legal teams insert handover protocol clauses into modular contracts</t>
  </si>
  <si>
    <t>Manufacturers, Federal Government, Developers &amp; General Contractors, Transportation &amp; Logistics Providers, Finance &amp; Insurance/Business Services</t>
  </si>
  <si>
    <t>Awareness, Culture &amp; Mindset </t>
  </si>
  <si>
    <t>Host OSC industry events (tours, seminars, etc.) targeting skilled trades to highlight OSC and associated benefits. </t>
  </si>
  <si>
    <t>WD15</t>
  </si>
  <si>
    <t>Attendance at OSC events
Surveys on workforce perception of OSC
Increased modular adoption</t>
  </si>
  <si>
    <t>Regional, provincial</t>
  </si>
  <si>
    <t>Identification of industry professionals to host events
Event planning</t>
  </si>
  <si>
    <t>Create a docuseries, launch an OSC awareness campaign, develop industry-wide marketing, and require outreach from publicly funded companies. </t>
  </si>
  <si>
    <t>WD16</t>
  </si>
  <si>
    <t>Provincial Government, Industry Associations, Manufacturers, Federal Government</t>
  </si>
  <si>
    <t>Public awareness metrics (survey data)
Number of facility open houses
Participation in outreach</t>
  </si>
  <si>
    <t>National, regional, provincial</t>
  </si>
  <si>
    <t>Marketing strategy developed
Local case studies collected
Cooperation from manufacturers</t>
  </si>
  <si>
    <t>Provincial Government, Manufacturers, Federal Government</t>
  </si>
  <si>
    <t>Provincial Government, Manufacturers, Federal Government, Industry Associations</t>
  </si>
  <si>
    <t>Work with trade schools and associations to host OSC events, sponsor trades, and integrate OSC into existing programs. </t>
  </si>
  <si>
    <t>WD17</t>
  </si>
  <si>
    <t>Industry Associations, Industry Associations, Manufacturers, Academic/Training Institutions</t>
  </si>
  <si>
    <t>Number of OSC events held
Number of sponsorships awarded and recipient career paths
Training integration into programs</t>
  </si>
  <si>
    <t>Regional, provincial, maybe national</t>
  </si>
  <si>
    <t>Event planning and secured funding for sponsorships</t>
  </si>
  <si>
    <t>Provincial Government, Manufacturers, Academic/Training Institutions</t>
  </si>
  <si>
    <t>Manufacturers, Industry Associations, Academic/Training Institutions</t>
  </si>
  <si>
    <t>Invest in factory automation to increase supply and strengthen OSC recruitment. </t>
  </si>
  <si>
    <t>WD7</t>
  </si>
  <si>
    <t>Efficiency KPIs folllowing implementation of automation
Output per worker
Reduced labour bottlenecks</t>
  </si>
  <si>
    <t>Local, regional</t>
  </si>
  <si>
    <t>Investment in automation equipment
Worker training on new technology</t>
  </si>
  <si>
    <t>Provide relocation incentives and additional benefits (e.g., housing) to grow the workforce. </t>
  </si>
  <si>
    <t>WD8</t>
  </si>
  <si>
    <t>Number of relocation/housing subsidies granted
Change in labour availability at rural facilities</t>
  </si>
  <si>
    <t>Regional, local</t>
  </si>
  <si>
    <t>Provincial/federal funding approval
Policy design for incentives</t>
  </si>
  <si>
    <t>Promote collaboration and include heavy equipment and crane operations in the outreach for opportunities in the industry. </t>
  </si>
  <si>
    <t>WD9</t>
  </si>
  <si>
    <t>Industry Associations, Transportation &amp; Logistics Providers, Provincial Government</t>
  </si>
  <si>
    <t>Counts of shared resources
Project delays due to lack of resources</t>
  </si>
  <si>
    <t>Coordination agreements between provinces
Identification of regional capacity gaps</t>
  </si>
  <si>
    <t>Federal Government, Transportation &amp; Logistics Providers, Industry Associations</t>
  </si>
  <si>
    <t>WD2</t>
  </si>
  <si>
    <t>Number of participants completing mini-courses
Number of certificates issued
Employer satisfaction with trained workforce</t>
  </si>
  <si>
    <t>Build off the AMC certificate to develop a national OSC curriculum and align apprenticeships with OSC credentials.</t>
  </si>
  <si>
    <t>WD3</t>
  </si>
  <si>
    <t>Adoption rate of national curriculum by provinces
Number of institutions offering courses
Enrollment numbers</t>
  </si>
  <si>
    <t>National, provincial</t>
  </si>
  <si>
    <t>Align provincial apprenticeship bodies to recognize modular-specific credentials
Establish CHBA alignment
Approval by national training authorities
Funding for curriculum development</t>
  </si>
  <si>
    <t>FALSE</t>
  </si>
  <si>
    <t>With a commitment to OSC through offtake agreements, OSC businesses can offer long-term year-round employment and should consider full health and dental and additional benefits (subsidized housing, healthy living allowance, etc.) </t>
  </si>
  <si>
    <t>WD18</t>
  </si>
  <si>
    <t>Worker retention rates
Housing uptake
Employment stability metrics</t>
  </si>
  <si>
    <t xml:space="preserve">Local, regional </t>
  </si>
  <si>
    <t>Policy approval for housing subsidies
Government purchasing agreements finalized</t>
  </si>
  <si>
    <t>Highlight the benefits of OSC company employment (year-round shift work) and support with bursaries, scholarships, mentorships, and DEI training requirements. </t>
  </si>
  <si>
    <t>WD19</t>
  </si>
  <si>
    <t>Municipal Government, Provincial Government, Academic/Training Institutions, Manufacturers, Federal Government, Indigenous &amp; Community Organizations</t>
  </si>
  <si>
    <t>Scholarship uptake
Mentorship participation
Diversity metrics in workforce</t>
  </si>
  <si>
    <t>Funding approval for scholarships
Mentorship program structure</t>
  </si>
  <si>
    <t>Provincial Government, Manufacturers, Federal Government, Municipal Government, Academic/Training Institutions</t>
  </si>
  <si>
    <t>Provincial, local</t>
  </si>
  <si>
    <t>Data collected on road restrictions
Number of transportation-friendly designs used</t>
  </si>
  <si>
    <t>Provincial Government, Technical Professionals, Manufacturers</t>
  </si>
  <si>
    <t>Number of staging yards designated
Reduction in delivery delays
Improvement in on-time module deliveries</t>
  </si>
  <si>
    <t>Database of land potentiall available for staging near sites</t>
  </si>
  <si>
    <t>Provincial Government, Municipal Government, Transportation &amp; Logistics Providers</t>
  </si>
  <si>
    <t>Lack defined roles and responsibilities leading to inaccurate pricing from sub-contractors (PEI)</t>
  </si>
  <si>
    <t>Lack of schedule regulations and enforcements (NB, PEI). </t>
  </si>
  <si>
    <t>Multi-unit residential building (MURB) volumetric modular construction significantly more expensive (PEI). </t>
  </si>
  <si>
    <t xml:space="preserve">Lack of on-island OSC experts on off-site methods (PEI) </t>
  </si>
  <si>
    <t>Modular builds from other regions may not be designed to meet local performance standards (e.g., hurricane-force winds) (NS, NL).  </t>
  </si>
  <si>
    <t>Outdated policies needing to be updated (NL). </t>
  </si>
  <si>
    <t>Cost barriers and lack of incentives to becoming CSA certified (NL).  </t>
  </si>
  <si>
    <t>Ferry costs add major expense for panelized construction (NL). </t>
  </si>
  <si>
    <t>Designs are developed for traditional construction and only adapted to OSC methods later which causes redesign and inefficiencies (Atlantic). 
The timing for servicing and installing utilities like water, power and gas is uncertain (NB).</t>
  </si>
  <si>
    <t>Lack of flexible RFP formats - they are too structured and project specific (NB).</t>
  </si>
  <si>
    <t>New entrants to construction are not used to RFP processes (NB).  </t>
  </si>
  <si>
    <t>Lack of site access or information for bidders to accurately estimate on-site works (NB). </t>
  </si>
  <si>
    <t xml:space="preserve">Lack of alignment in terminology from funders. Ambiguity in terminology leading to confusion (NB). </t>
  </si>
  <si>
    <t xml:space="preserve">Lack of emphasis of the impact of housing on population health (NB). </t>
  </si>
  <si>
    <t>Heritage Conservation Act identifies heritage places in unincorporated areas, providing a barrier for housing (NB). </t>
  </si>
  <si>
    <t xml:space="preserve">Conflicts with power lines, telecommunications, and fire marshal requirements (NB). </t>
  </si>
  <si>
    <t>Poor detour roads increase delivery risk (NB). </t>
  </si>
  <si>
    <t xml:space="preserve">Bonding challenges for small manufacturers (NS, NB). </t>
  </si>
  <si>
    <t>Shortage of skilled trades needed for OSC construction (design, assembly, mass timber, mechanical/electrical, etc.) (NB). </t>
  </si>
  <si>
    <t>Culturally inappropriate or unwelcoming workplaces limit participation from Indigenous peoples and underrepresented groups (NB). </t>
  </si>
  <si>
    <t>Projects may need to be approved as design-build to create more competition (NS). </t>
  </si>
  <si>
    <t>Limited land availability reduces how many modular projects can be procured (NS). </t>
  </si>
  <si>
    <t>Operational complexity with OSC due to multiple contractors and on-site and off-site teams (NS). </t>
  </si>
  <si>
    <t>Concerns that inspections done on components in factory instead of the whole building could lead to hidden issues which may emerge when components are combined (NS). 
Challenges related to codes and standards differing between provinces and municipalities. In addition to accessibility codes and seismic requirements differing across the country (NS).  </t>
  </si>
  <si>
    <t>Heavy machinery causes soil compaction and clearing (NS).  </t>
  </si>
  <si>
    <t xml:space="preserve">Larger modules require police escorts; delays occur when escorts leave (NS).
HRM has distinct escort/permit timing from rural NS (NS). 
</t>
  </si>
  <si>
    <t>No standardized dimensions for local volumetric modular practice (NS).</t>
  </si>
  <si>
    <t>Barriers for foreign-trained workers to gain equivalency; limited culturally appropriate programs for Indigenous communities (NS).  </t>
  </si>
  <si>
    <t>Only few CSA-certified modular manufacturers, limiting competition, raising costs, and preventing suppliers from scaling confidently (Atlantic). </t>
  </si>
  <si>
    <t>Low-bid procurement models do not quantify the benefits of some forms of OSC (cost certainty, shortened schedule, reduction in environmental impact, safer for the skilled workforce) which makes OSC solutions less competitive than stick-built construction (Atlantic). 
Lack of value-based procurement approaches (Atlantic).</t>
  </si>
  <si>
    <t>Unclear demand and supply conditions create a “chicken-or-egg” problem, limiting competition and complicating procurement planning (Atlantic). </t>
  </si>
  <si>
    <t>Designs are developed for traditional construction and only adapted to OSC methods later which causes redesign and inefficiencies (Atlantic). </t>
  </si>
  <si>
    <t>Lack of OSC-friendly designs and prescriptive requirements cause redesign, inefficiencies, and excludes OSC methods (Atlantic). </t>
  </si>
  <si>
    <t>Limited OSC manufacturing capacity and an under-developed supply chain create dependency on imports, transport bottlenecks, and long lead times (Atlantic). </t>
  </si>
  <si>
    <t>Procurement is oriented toward traditional construction reducing acceptance for OSC approaches (Atlantic). </t>
  </si>
  <si>
    <t>Pre-fabrication work is often missing from trade agreements and scopes, making coordination harder (Atlantic).  </t>
  </si>
  <si>
    <t>There is a gap between the promotion of OSC and the acceptance of it. Specifically, politicians have been promoting OSC however their departments do not prefer it. A gap was also noted in CMHC promoting OSC despite the funding mechanisms not being friendly to OSC (Atlantic). </t>
  </si>
  <si>
    <t>Complexity of codes: mention of challenges navigating national, provincial, and local codes (including NBC, NECB) (Atlantic).  </t>
  </si>
  <si>
    <t>Lack of communication across government agencies (Atlantic). </t>
  </si>
  <si>
    <t>Concerns about duplicate inspections resulting in inefficiencies (Atlantic)</t>
  </si>
  <si>
    <t>Slow and costly approval processes (Atlantic).  </t>
  </si>
  <si>
    <t>Municipal zoning rules restrict certain housing types, proximity requirements, or have unclear procedures between zoning and permitting steps (Atlantic). </t>
  </si>
  <si>
    <t>Unclear processes: multiple layers of government or departments involved, unclear distinctions/responsibilities between codes, bylaws, and approval pathways (Atlantic). </t>
  </si>
  <si>
    <t>Responsibility/liability for damage is unclear between manufacturer, hauler, GC (Atlantic).</t>
  </si>
  <si>
    <t>Denting, corner damage, and structural movement during loading/unloading (Atlantic). 
Inconsistent moisture barriers and wrapping practices (Atlantic).</t>
  </si>
  <si>
    <t>Escort and permit rules for oversized modules (often &gt;12 ft wide) differ between jurisdictions (Atlantic).</t>
  </si>
  <si>
    <t>CMHC policies do not align with OSC timelines, delivery methods, or cost structure (Atlantic). 
Restrictions on funding non-residential space in new buildings (Atlantic). 
Lack of clarity on how to access CMHC programs and funding streams (Atlantic). 
CMHC data for rural areas is outdated/incorrect (Atlantic).  </t>
  </si>
  <si>
    <t>High upfront costs and misaligned payment milestones strain cash flow (Atlantic). </t>
  </si>
  <si>
    <t>Challenges producing accurate pricing estimates due to immature market (Atlantic). </t>
  </si>
  <si>
    <t>No tax incentives, subsidies, or financial supports tailored to OSC (Atlantic). 
Government fees add affordability challenges (Atlantic). </t>
  </si>
  <si>
    <t xml:space="preserve">Workforce resistance to OSC due to lack of familiarity, fear of job loss, or cultural hesitation toward new methods (Atlantic). </t>
  </si>
  <si>
    <t>Low awareness and misconceptions about OSC quality, aesthetics, and durability (Atlantic). </t>
  </si>
  <si>
    <t>Limited promotion of modular construction within the industry and workforce (Atlantic). </t>
  </si>
  <si>
    <t>Low overall workforce availability limits the ability to scale modular construction (Atlantic). </t>
  </si>
  <si>
    <t>Rural factory locations limit labour access and reduce available workforce pools (Atlantic). </t>
  </si>
  <si>
    <t>Limited access to specialized equipment operators (e.g., cranes, certified operators) (Atlantic). </t>
  </si>
  <si>
    <t xml:space="preserve">NSCC programs closing due to low enrollment (NS).
Retraining to shift workers from traditional methods to MMC (Atlantic). 
Lack of clear, unified training pathways or standards for OSC across Canada (Atlantic). 
Few OSC-specific training programs across colleges/trade schools (Atlantic). 
Lack of on-island OSC experts on off-site methods (PEI). </t>
  </si>
  <si>
    <t>Lack of clear, unified training pathways or standards for OSC across Canada (Atlantic). </t>
  </si>
  <si>
    <t>Workforce retention challenges due to high living costs, housing affordability, and job security concerns in the construction sector (Atlantic). </t>
  </si>
  <si>
    <t>Difficulty attracting youth, women, diverse groups, and newcomers to construction trades (Atlantic). </t>
  </si>
  <si>
    <t>Noise and work-hour limits reduce labour availability (NS). </t>
  </si>
  <si>
    <t>NSCC programs closing due to low enrollment (NS).
Few contractors have OSC experience, limiting participation (NS).</t>
  </si>
  <si>
    <t>There are coverage gaps, overlapping insurance requirements, and unclear responsibility transfers between the factory, transporter, and on-site contractor (Atlantic). 
Higher insurance premiums for mass timber or wood-based modular systems (Atlantic). 
Insurance regulations not tailored to offsite fabrication risks (Atlantic). </t>
  </si>
  <si>
    <t>sorting col 1</t>
  </si>
  <si>
    <t>sorting col 2</t>
  </si>
  <si>
    <t>PR5</t>
  </si>
  <si>
    <t>TL13</t>
  </si>
  <si>
    <t>Old ID</t>
  </si>
  <si>
    <t>FI5</t>
  </si>
  <si>
    <t>PM11</t>
  </si>
  <si>
    <t>PR11</t>
  </si>
  <si>
    <t>TL2</t>
  </si>
  <si>
    <t>TL3</t>
  </si>
  <si>
    <t>TL8</t>
  </si>
  <si>
    <t>TL10</t>
  </si>
  <si>
    <t>WD1</t>
  </si>
  <si>
    <t>WD10</t>
  </si>
  <si>
    <t>Module width/height is constrained by bridge clearances, turning radii, and road widths (Atlantic).
Modules must be designed to match available island transport equipment (NL).</t>
  </si>
  <si>
    <t>Atlantic, NL</t>
  </si>
  <si>
    <t>Data collection on bridges, roads, turning radii
Mapping infrastructure conflicts
Design catalogue development
Coordination between designers, manufacturers, transport providers</t>
  </si>
  <si>
    <t>Staff shortages in public offices (planning, permitting, fire inspection) delay projects (NB). 
New building inspectors are inexperienced (NL).</t>
  </si>
  <si>
    <t>NB, NL</t>
  </si>
  <si>
    <t>Municipal Government, Provincial Government, Academic/Training Institutions</t>
  </si>
  <si>
    <t>Number of municipal staff hired
Permitting turnaround times
Number of inspectors trained
Inspector certification rates
Reduced inspection delays</t>
  </si>
  <si>
    <t>Budget approval
Digital permitting system development
Curriculum development for inspector training</t>
  </si>
  <si>
    <t>timeline index</t>
  </si>
  <si>
    <t>cat index</t>
  </si>
  <si>
    <t>Banks and lenders do not fully understand or accept modular/off-site construction because of high perceived risks in OSC (Atlantic). 
Limited financing options for small-scale ownership (e.g., single units, duplexes) force many buyers to rely on high-interest lenders (Atlantic). 
Financing rules, mortgage products, and banking policies are outdated for OSC (Atlantic).
Lack of competition among funding providers (NS).  </t>
  </si>
  <si>
    <t>Atlantic, NS</t>
  </si>
  <si>
    <t>Number of lenders adopting the brief
Reduction in financing rejections for modular
Increase in modular mortgage approvals
Reduced reliance on one or two banks
Increase in competitive interest rates for modular</t>
  </si>
  <si>
    <t>Limited staging and storage space near construction sites (Atlantic). 
Seasonal weight restrictions affecting transportation timelines (Atlantic). 
Difficult access in dense urban areas (tight roads, overhead utilities) (NS).  </t>
  </si>
  <si>
    <t>Skilled workforce and Skills Development </t>
  </si>
  <si>
    <t>Sub-Category</t>
  </si>
  <si>
    <t>Initiative</t>
  </si>
  <si>
    <t>Barrier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</si>
</sst>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242424"/>
      <name val="Aptos Narrow"/>
      <family val="2"/>
    </font>
    <font>
      <sz val="8"/>
      <name val="Calibri"/>
      <family val="2"/>
      <scheme val="minor"/>
    </font>
    <font>
      <b/>
      <sz val="11"/>
      <color theme="1"/>
      <name val="Calibri"/>
      <family val="2"/>
      <scheme val="minor"/>
    </font>
    <font>
      <sz val="11"/>
      <name val="Calibri"/>
      <family val="2"/>
    </font>
  </fonts>
  <fills count="3">
    <fill>
      <patternFill patternType="none"/>
    </fill>
    <fill>
      <patternFill patternType="gray125"/>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2" fillId="0" borderId="0" xfId="0" applyFont="1" applyAlignment="1">
      <alignment wrapText="1"/>
    </xf>
    <xf numFmtId="0" fontId="1" fillId="0" borderId="2" xfId="0" applyFont="1" applyBorder="1" applyAlignment="1">
      <alignment horizontal="center" vertical="top"/>
    </xf>
    <xf numFmtId="0" fontId="0" fillId="2" borderId="0" xfId="0" applyFill="1"/>
    <xf numFmtId="0" fontId="4" fillId="0" borderId="0" xfId="0" applyFont="1"/>
    <xf numFmtId="0" fontId="5" fillId="0" borderId="0" xfId="0" applyFont="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8"/>
  <sheetViews>
    <sheetView tabSelected="1" topLeftCell="D1" zoomScale="50" zoomScaleNormal="68" workbookViewId="0">
      <pane ySplit="1" topLeftCell="A19" activePane="bottomLeft" state="frozen"/>
      <selection pane="bottomLeft" activeCell="D5" sqref="D5"/>
    </sheetView>
  </sheetViews>
  <sheetFormatPr defaultRowHeight="14.5" x14ac:dyDescent="0.35"/>
  <cols>
    <col min="3" max="3" width="36.81640625" customWidth="1"/>
    <col min="4" max="4" width="39.81640625" customWidth="1"/>
    <col min="5" max="5" width="136.453125" customWidth="1"/>
    <col min="6" max="6" width="103.36328125" customWidth="1"/>
    <col min="7" max="7" width="8.90625" customWidth="1"/>
    <col min="10" max="10" width="36.54296875" bestFit="1" customWidth="1"/>
    <col min="13" max="13" width="30.90625" bestFit="1" customWidth="1"/>
    <col min="14" max="14" width="14.90625" bestFit="1" customWidth="1"/>
    <col min="15" max="15" width="36.54296875" bestFit="1" customWidth="1"/>
    <col min="16" max="16" width="81.6328125" customWidth="1"/>
    <col min="17" max="17" width="36.54296875" bestFit="1" customWidth="1"/>
  </cols>
  <sheetData>
    <row r="1" spans="1:20" x14ac:dyDescent="0.35">
      <c r="A1" s="7" t="s">
        <v>497</v>
      </c>
      <c r="B1" s="7" t="s">
        <v>496</v>
      </c>
      <c r="C1" s="1" t="s">
        <v>0</v>
      </c>
      <c r="D1" s="1" t="s">
        <v>503</v>
      </c>
      <c r="E1" s="1" t="s">
        <v>504</v>
      </c>
      <c r="F1" s="1" t="s">
        <v>505</v>
      </c>
      <c r="G1" s="1" t="s">
        <v>1</v>
      </c>
      <c r="H1" s="1" t="s">
        <v>2</v>
      </c>
      <c r="I1" s="1" t="s">
        <v>3</v>
      </c>
      <c r="J1" s="1" t="s">
        <v>4</v>
      </c>
      <c r="K1" s="1" t="s">
        <v>5</v>
      </c>
      <c r="L1" s="1" t="s">
        <v>6</v>
      </c>
      <c r="M1" s="1" t="s">
        <v>7</v>
      </c>
      <c r="N1" s="1" t="s">
        <v>8</v>
      </c>
      <c r="O1" s="1" t="s">
        <v>9</v>
      </c>
      <c r="P1" s="1" t="s">
        <v>10</v>
      </c>
      <c r="Q1" s="1" t="s">
        <v>11</v>
      </c>
      <c r="R1" s="5" t="s">
        <v>474</v>
      </c>
      <c r="S1" s="5" t="s">
        <v>475</v>
      </c>
      <c r="T1" s="1" t="s">
        <v>478</v>
      </c>
    </row>
    <row r="2" spans="1:20" ht="145" x14ac:dyDescent="0.35">
      <c r="A2">
        <v>1</v>
      </c>
      <c r="B2" s="8">
        <v>1</v>
      </c>
      <c r="C2" t="s">
        <v>35</v>
      </c>
      <c r="D2" t="s">
        <v>196</v>
      </c>
      <c r="E2" t="s">
        <v>197</v>
      </c>
      <c r="F2" s="2" t="s">
        <v>498</v>
      </c>
      <c r="G2">
        <v>2026</v>
      </c>
      <c r="H2" t="s">
        <v>313</v>
      </c>
      <c r="I2" t="s">
        <v>499</v>
      </c>
      <c r="J2" t="s">
        <v>314</v>
      </c>
      <c r="K2" t="s">
        <v>29</v>
      </c>
      <c r="L2">
        <v>8</v>
      </c>
      <c r="M2" s="2" t="s">
        <v>500</v>
      </c>
      <c r="N2" t="s">
        <v>21</v>
      </c>
      <c r="O2" t="s">
        <v>315</v>
      </c>
      <c r="P2" t="s">
        <v>316</v>
      </c>
      <c r="Q2" t="s">
        <v>317</v>
      </c>
      <c r="R2" t="str">
        <f t="shared" ref="R2:R33" si="0" xml:space="preserve"> LEFT(H2, 2)</f>
        <v>FI</v>
      </c>
      <c r="S2" t="str">
        <f t="shared" ref="S2:S33" si="1">RIGHT(H2,LEN(H2)-2)</f>
        <v>1</v>
      </c>
      <c r="T2" t="s">
        <v>313</v>
      </c>
    </row>
    <row r="3" spans="1:20" x14ac:dyDescent="0.35">
      <c r="A3">
        <v>2</v>
      </c>
      <c r="B3" s="8">
        <v>4</v>
      </c>
      <c r="C3" t="s">
        <v>35</v>
      </c>
      <c r="D3" t="s">
        <v>36</v>
      </c>
      <c r="E3" t="s">
        <v>139</v>
      </c>
      <c r="F3" t="s">
        <v>428</v>
      </c>
      <c r="G3">
        <v>2026</v>
      </c>
      <c r="H3" t="s">
        <v>198</v>
      </c>
      <c r="I3" t="s">
        <v>199</v>
      </c>
      <c r="J3" t="s">
        <v>141</v>
      </c>
      <c r="K3" t="s">
        <v>19</v>
      </c>
      <c r="L3">
        <v>8</v>
      </c>
      <c r="M3" t="s">
        <v>142</v>
      </c>
      <c r="N3" t="s">
        <v>41</v>
      </c>
      <c r="O3" t="s">
        <v>143</v>
      </c>
      <c r="P3" t="s">
        <v>23</v>
      </c>
      <c r="Q3" t="s">
        <v>144</v>
      </c>
      <c r="R3" t="str">
        <f t="shared" si="0"/>
        <v>FI</v>
      </c>
      <c r="S3" t="str">
        <f t="shared" si="1"/>
        <v>4</v>
      </c>
      <c r="T3" t="s">
        <v>140</v>
      </c>
    </row>
    <row r="4" spans="1:20" ht="58" x14ac:dyDescent="0.35">
      <c r="A4">
        <v>3</v>
      </c>
      <c r="B4" s="8">
        <v>5</v>
      </c>
      <c r="C4" t="s">
        <v>35</v>
      </c>
      <c r="D4" t="s">
        <v>318</v>
      </c>
      <c r="E4" t="s">
        <v>319</v>
      </c>
      <c r="F4" s="2" t="s">
        <v>457</v>
      </c>
      <c r="G4">
        <v>2026</v>
      </c>
      <c r="H4" t="s">
        <v>479</v>
      </c>
      <c r="I4" t="s">
        <v>180</v>
      </c>
      <c r="J4" t="s">
        <v>321</v>
      </c>
      <c r="K4" t="s">
        <v>19</v>
      </c>
      <c r="L4">
        <v>9</v>
      </c>
      <c r="M4" t="s">
        <v>322</v>
      </c>
      <c r="N4" t="s">
        <v>21</v>
      </c>
      <c r="O4" t="s">
        <v>323</v>
      </c>
      <c r="P4" t="s">
        <v>324</v>
      </c>
      <c r="Q4" t="s">
        <v>325</v>
      </c>
      <c r="R4" t="str">
        <f t="shared" si="0"/>
        <v>FI</v>
      </c>
      <c r="S4" t="str">
        <f t="shared" si="1"/>
        <v>5</v>
      </c>
      <c r="T4" t="s">
        <v>320</v>
      </c>
    </row>
    <row r="5" spans="1:20" ht="58" x14ac:dyDescent="0.35">
      <c r="A5">
        <v>4</v>
      </c>
      <c r="B5" s="8">
        <v>6</v>
      </c>
      <c r="C5" t="s">
        <v>35</v>
      </c>
      <c r="D5" t="s">
        <v>341</v>
      </c>
      <c r="E5" t="s">
        <v>342</v>
      </c>
      <c r="F5" s="2" t="s">
        <v>473</v>
      </c>
      <c r="G5">
        <v>2026</v>
      </c>
      <c r="H5" t="s">
        <v>331</v>
      </c>
      <c r="I5" t="s">
        <v>180</v>
      </c>
      <c r="J5" t="s">
        <v>344</v>
      </c>
      <c r="K5" t="s">
        <v>19</v>
      </c>
      <c r="L5">
        <v>9</v>
      </c>
      <c r="M5" t="s">
        <v>345</v>
      </c>
      <c r="N5" t="s">
        <v>21</v>
      </c>
      <c r="O5" t="s">
        <v>346</v>
      </c>
      <c r="P5" t="s">
        <v>221</v>
      </c>
      <c r="Q5" t="s">
        <v>347</v>
      </c>
      <c r="R5" t="str">
        <f t="shared" si="0"/>
        <v>FI</v>
      </c>
      <c r="S5" t="str">
        <f t="shared" si="1"/>
        <v>6</v>
      </c>
      <c r="T5" t="s">
        <v>343</v>
      </c>
    </row>
    <row r="6" spans="1:20" x14ac:dyDescent="0.35">
      <c r="A6">
        <v>8</v>
      </c>
      <c r="B6" s="8">
        <v>7</v>
      </c>
      <c r="C6" t="s">
        <v>12</v>
      </c>
      <c r="D6" t="s">
        <v>13</v>
      </c>
      <c r="E6" t="s">
        <v>219</v>
      </c>
      <c r="F6" t="s">
        <v>439</v>
      </c>
      <c r="G6">
        <v>2026</v>
      </c>
      <c r="H6" t="s">
        <v>220</v>
      </c>
      <c r="I6" t="s">
        <v>180</v>
      </c>
      <c r="J6" t="s">
        <v>221</v>
      </c>
      <c r="K6" t="s">
        <v>29</v>
      </c>
      <c r="L6">
        <v>9</v>
      </c>
      <c r="M6" t="s">
        <v>222</v>
      </c>
      <c r="N6" t="s">
        <v>21</v>
      </c>
      <c r="O6" t="s">
        <v>223</v>
      </c>
      <c r="P6" t="s">
        <v>23</v>
      </c>
      <c r="Q6" t="s">
        <v>221</v>
      </c>
      <c r="R6" t="str">
        <f t="shared" si="0"/>
        <v>PM</v>
      </c>
      <c r="S6" t="str">
        <f t="shared" si="1"/>
        <v>1</v>
      </c>
      <c r="T6" t="s">
        <v>220</v>
      </c>
    </row>
    <row r="7" spans="1:20" ht="58" x14ac:dyDescent="0.35">
      <c r="A7">
        <v>9</v>
      </c>
      <c r="B7" s="8">
        <v>8</v>
      </c>
      <c r="C7" t="s">
        <v>12</v>
      </c>
      <c r="D7" t="s">
        <v>13</v>
      </c>
      <c r="E7" t="s">
        <v>224</v>
      </c>
      <c r="F7" s="2" t="s">
        <v>440</v>
      </c>
      <c r="G7">
        <v>2026</v>
      </c>
      <c r="H7" t="s">
        <v>225</v>
      </c>
      <c r="I7" t="s">
        <v>180</v>
      </c>
      <c r="J7" t="s">
        <v>226</v>
      </c>
      <c r="K7" t="s">
        <v>29</v>
      </c>
      <c r="L7">
        <v>9</v>
      </c>
      <c r="M7" t="s">
        <v>227</v>
      </c>
      <c r="N7" t="s">
        <v>21</v>
      </c>
      <c r="O7" t="s">
        <v>228</v>
      </c>
      <c r="P7" t="s">
        <v>23</v>
      </c>
      <c r="Q7" t="s">
        <v>167</v>
      </c>
      <c r="R7" t="str">
        <f t="shared" si="0"/>
        <v>PM</v>
      </c>
      <c r="S7" t="str">
        <f t="shared" si="1"/>
        <v>2</v>
      </c>
      <c r="T7" t="s">
        <v>225</v>
      </c>
    </row>
    <row r="8" spans="1:20" x14ac:dyDescent="0.35">
      <c r="A8">
        <v>10</v>
      </c>
      <c r="B8" s="8">
        <v>9</v>
      </c>
      <c r="C8" t="s">
        <v>12</v>
      </c>
      <c r="D8" t="s">
        <v>13</v>
      </c>
      <c r="E8" t="s">
        <v>229</v>
      </c>
      <c r="F8" t="s">
        <v>441</v>
      </c>
      <c r="G8">
        <v>2026</v>
      </c>
      <c r="H8" t="s">
        <v>230</v>
      </c>
      <c r="I8" t="s">
        <v>180</v>
      </c>
      <c r="J8" t="s">
        <v>164</v>
      </c>
      <c r="K8" t="s">
        <v>29</v>
      </c>
      <c r="L8">
        <v>9</v>
      </c>
      <c r="M8" t="s">
        <v>231</v>
      </c>
      <c r="N8" t="s">
        <v>21</v>
      </c>
      <c r="O8" t="s">
        <v>232</v>
      </c>
      <c r="P8" t="s">
        <v>23</v>
      </c>
      <c r="Q8" t="s">
        <v>167</v>
      </c>
      <c r="R8" t="str">
        <f t="shared" si="0"/>
        <v>PM</v>
      </c>
      <c r="S8" t="str">
        <f t="shared" si="1"/>
        <v>3</v>
      </c>
      <c r="T8" t="s">
        <v>230</v>
      </c>
    </row>
    <row r="9" spans="1:20" x14ac:dyDescent="0.35">
      <c r="A9">
        <v>11</v>
      </c>
      <c r="B9" s="8">
        <v>10</v>
      </c>
      <c r="C9" t="s">
        <v>12</v>
      </c>
      <c r="D9" t="s">
        <v>13</v>
      </c>
      <c r="E9" t="s">
        <v>161</v>
      </c>
      <c r="F9" t="s">
        <v>431</v>
      </c>
      <c r="G9">
        <v>2026</v>
      </c>
      <c r="H9" t="s">
        <v>162</v>
      </c>
      <c r="I9" t="s">
        <v>163</v>
      </c>
      <c r="J9" t="s">
        <v>164</v>
      </c>
      <c r="K9" t="s">
        <v>29</v>
      </c>
      <c r="L9">
        <v>7</v>
      </c>
      <c r="M9" t="s">
        <v>165</v>
      </c>
      <c r="N9" t="s">
        <v>41</v>
      </c>
      <c r="O9" t="s">
        <v>166</v>
      </c>
      <c r="P9" t="s">
        <v>23</v>
      </c>
      <c r="Q9" t="s">
        <v>167</v>
      </c>
      <c r="R9" t="str">
        <f t="shared" si="0"/>
        <v>PM</v>
      </c>
      <c r="S9" t="str">
        <f t="shared" si="1"/>
        <v>4</v>
      </c>
      <c r="T9" t="s">
        <v>162</v>
      </c>
    </row>
    <row r="10" spans="1:20" x14ac:dyDescent="0.35">
      <c r="A10">
        <v>12</v>
      </c>
      <c r="B10" s="8">
        <v>11</v>
      </c>
      <c r="C10" t="s">
        <v>12</v>
      </c>
      <c r="D10" t="s">
        <v>13</v>
      </c>
      <c r="E10" t="s">
        <v>168</v>
      </c>
      <c r="F10" t="s">
        <v>432</v>
      </c>
      <c r="G10">
        <v>2026</v>
      </c>
      <c r="H10" t="s">
        <v>169</v>
      </c>
      <c r="I10" t="s">
        <v>163</v>
      </c>
      <c r="J10" t="s">
        <v>170</v>
      </c>
      <c r="K10" t="s">
        <v>19</v>
      </c>
      <c r="L10">
        <v>7</v>
      </c>
      <c r="M10" t="s">
        <v>171</v>
      </c>
      <c r="N10" t="s">
        <v>41</v>
      </c>
      <c r="O10" t="s">
        <v>172</v>
      </c>
      <c r="P10" t="s">
        <v>23</v>
      </c>
      <c r="Q10" t="s">
        <v>173</v>
      </c>
      <c r="R10" t="str">
        <f t="shared" si="0"/>
        <v>PM</v>
      </c>
      <c r="S10" t="str">
        <f t="shared" si="1"/>
        <v>5</v>
      </c>
      <c r="T10" t="s">
        <v>169</v>
      </c>
    </row>
    <row r="11" spans="1:20" x14ac:dyDescent="0.35">
      <c r="A11">
        <v>13</v>
      </c>
      <c r="B11" s="8">
        <v>12</v>
      </c>
      <c r="C11" t="s">
        <v>12</v>
      </c>
      <c r="D11" s="6" t="s">
        <v>50</v>
      </c>
      <c r="E11" t="s">
        <v>93</v>
      </c>
      <c r="F11" t="s">
        <v>443</v>
      </c>
      <c r="G11" s="6">
        <v>2026</v>
      </c>
      <c r="H11" t="s">
        <v>16</v>
      </c>
      <c r="I11" s="6" t="s">
        <v>180</v>
      </c>
      <c r="J11" s="6" t="s">
        <v>18</v>
      </c>
      <c r="K11" s="6" t="s">
        <v>19</v>
      </c>
      <c r="L11" s="6">
        <v>8</v>
      </c>
      <c r="M11" s="6" t="s">
        <v>20</v>
      </c>
      <c r="N11" s="6" t="s">
        <v>21</v>
      </c>
      <c r="O11" s="6" t="s">
        <v>22</v>
      </c>
      <c r="P11" s="6" t="s">
        <v>23</v>
      </c>
      <c r="Q11" s="6" t="s">
        <v>24</v>
      </c>
      <c r="R11" s="6" t="str">
        <f t="shared" si="0"/>
        <v>PM</v>
      </c>
      <c r="S11" s="6" t="str">
        <f t="shared" si="1"/>
        <v>6</v>
      </c>
      <c r="T11" s="6" t="s">
        <v>16</v>
      </c>
    </row>
    <row r="12" spans="1:20" x14ac:dyDescent="0.35">
      <c r="A12">
        <v>14</v>
      </c>
      <c r="B12" s="8">
        <v>13</v>
      </c>
      <c r="C12" t="s">
        <v>12</v>
      </c>
      <c r="D12" t="s">
        <v>50</v>
      </c>
      <c r="E12" t="s">
        <v>86</v>
      </c>
      <c r="F12" t="s">
        <v>442</v>
      </c>
      <c r="G12">
        <v>2026</v>
      </c>
      <c r="H12" t="s">
        <v>233</v>
      </c>
      <c r="I12" t="s">
        <v>180</v>
      </c>
      <c r="J12" t="s">
        <v>234</v>
      </c>
      <c r="K12" t="s">
        <v>19</v>
      </c>
      <c r="L12">
        <v>9</v>
      </c>
      <c r="M12" t="s">
        <v>235</v>
      </c>
      <c r="N12" t="s">
        <v>21</v>
      </c>
      <c r="O12" t="s">
        <v>236</v>
      </c>
      <c r="P12" t="s">
        <v>176</v>
      </c>
      <c r="Q12" t="s">
        <v>99</v>
      </c>
      <c r="R12" t="str">
        <f t="shared" si="0"/>
        <v>PM</v>
      </c>
      <c r="S12" t="str">
        <f t="shared" si="1"/>
        <v>7</v>
      </c>
      <c r="T12" t="s">
        <v>233</v>
      </c>
    </row>
    <row r="13" spans="1:20" x14ac:dyDescent="0.35">
      <c r="A13">
        <v>15</v>
      </c>
      <c r="B13" s="8">
        <v>14</v>
      </c>
      <c r="C13" t="s">
        <v>35</v>
      </c>
      <c r="D13" t="s">
        <v>36</v>
      </c>
      <c r="E13" t="s">
        <v>326</v>
      </c>
      <c r="F13" t="s">
        <v>458</v>
      </c>
      <c r="G13">
        <v>2026</v>
      </c>
      <c r="H13" t="s">
        <v>327</v>
      </c>
      <c r="I13" t="s">
        <v>180</v>
      </c>
      <c r="J13" t="s">
        <v>234</v>
      </c>
      <c r="K13" t="s">
        <v>19</v>
      </c>
      <c r="L13">
        <v>9</v>
      </c>
      <c r="M13" t="s">
        <v>328</v>
      </c>
      <c r="N13" t="s">
        <v>21</v>
      </c>
      <c r="O13" t="s">
        <v>329</v>
      </c>
      <c r="P13" t="s">
        <v>176</v>
      </c>
      <c r="Q13" t="s">
        <v>99</v>
      </c>
      <c r="R13" t="str">
        <f t="shared" si="0"/>
        <v>PM</v>
      </c>
      <c r="S13" t="str">
        <f t="shared" si="1"/>
        <v>8</v>
      </c>
      <c r="T13" t="s">
        <v>327</v>
      </c>
    </row>
    <row r="14" spans="1:20" s="6" customFormat="1" x14ac:dyDescent="0.35">
      <c r="A14">
        <v>16</v>
      </c>
      <c r="B14" s="8">
        <v>15</v>
      </c>
      <c r="C14" t="s">
        <v>12</v>
      </c>
      <c r="D14" t="s">
        <v>50</v>
      </c>
      <c r="E14" t="s">
        <v>51</v>
      </c>
      <c r="F14" t="s">
        <v>415</v>
      </c>
      <c r="G14">
        <v>2026</v>
      </c>
      <c r="H14" t="s">
        <v>52</v>
      </c>
      <c r="I14" t="s">
        <v>53</v>
      </c>
      <c r="J14" t="s">
        <v>54</v>
      </c>
      <c r="K14" t="s">
        <v>29</v>
      </c>
      <c r="L14">
        <v>9</v>
      </c>
      <c r="M14" t="s">
        <v>55</v>
      </c>
      <c r="N14" t="s">
        <v>41</v>
      </c>
      <c r="O14" t="s">
        <v>56</v>
      </c>
      <c r="P14" t="s">
        <v>23</v>
      </c>
      <c r="Q14" t="s">
        <v>57</v>
      </c>
      <c r="R14" t="str">
        <f t="shared" si="0"/>
        <v>PM</v>
      </c>
      <c r="S14" t="str">
        <f t="shared" si="1"/>
        <v>9</v>
      </c>
      <c r="T14" t="s">
        <v>52</v>
      </c>
    </row>
    <row r="15" spans="1:20" s="6" customFormat="1" x14ac:dyDescent="0.35">
      <c r="A15">
        <v>17</v>
      </c>
      <c r="B15" s="8">
        <v>16</v>
      </c>
      <c r="C15" t="s">
        <v>12</v>
      </c>
      <c r="D15" t="s">
        <v>25</v>
      </c>
      <c r="E15" t="s">
        <v>244</v>
      </c>
      <c r="F15" t="s">
        <v>445</v>
      </c>
      <c r="G15">
        <v>2026</v>
      </c>
      <c r="H15" t="s">
        <v>245</v>
      </c>
      <c r="I15" t="s">
        <v>180</v>
      </c>
      <c r="J15" t="s">
        <v>246</v>
      </c>
      <c r="K15" t="s">
        <v>29</v>
      </c>
      <c r="L15">
        <v>8</v>
      </c>
      <c r="M15" t="s">
        <v>247</v>
      </c>
      <c r="N15" t="s">
        <v>21</v>
      </c>
      <c r="O15" t="s">
        <v>248</v>
      </c>
      <c r="P15" t="s">
        <v>33</v>
      </c>
      <c r="Q15" t="s">
        <v>167</v>
      </c>
      <c r="R15" t="str">
        <f t="shared" si="0"/>
        <v>PM</v>
      </c>
      <c r="S15" t="str">
        <f t="shared" si="1"/>
        <v>10</v>
      </c>
      <c r="T15" t="s">
        <v>245</v>
      </c>
    </row>
    <row r="16" spans="1:20" x14ac:dyDescent="0.35">
      <c r="A16">
        <v>18</v>
      </c>
      <c r="B16" s="8">
        <v>17</v>
      </c>
      <c r="C16" t="s">
        <v>12</v>
      </c>
      <c r="D16" t="s">
        <v>25</v>
      </c>
      <c r="E16" t="s">
        <v>101</v>
      </c>
      <c r="F16" t="s">
        <v>421</v>
      </c>
      <c r="G16">
        <v>2026</v>
      </c>
      <c r="H16" t="s">
        <v>480</v>
      </c>
      <c r="I16" t="s">
        <v>95</v>
      </c>
      <c r="J16" t="s">
        <v>18</v>
      </c>
      <c r="K16" t="s">
        <v>29</v>
      </c>
      <c r="L16">
        <v>7</v>
      </c>
      <c r="M16" t="s">
        <v>103</v>
      </c>
      <c r="N16" t="s">
        <v>41</v>
      </c>
      <c r="O16" t="s">
        <v>104</v>
      </c>
      <c r="P16" t="s">
        <v>23</v>
      </c>
      <c r="Q16" t="s">
        <v>105</v>
      </c>
      <c r="R16" t="str">
        <f t="shared" si="0"/>
        <v>PM</v>
      </c>
      <c r="S16" t="str">
        <f t="shared" si="1"/>
        <v>11</v>
      </c>
      <c r="T16" t="s">
        <v>102</v>
      </c>
    </row>
    <row r="17" spans="1:20" x14ac:dyDescent="0.35">
      <c r="A17">
        <v>19</v>
      </c>
      <c r="B17" s="8">
        <v>18</v>
      </c>
      <c r="C17" t="s">
        <v>12</v>
      </c>
      <c r="D17" t="s">
        <v>25</v>
      </c>
      <c r="E17" t="s">
        <v>26</v>
      </c>
      <c r="F17" t="s">
        <v>412</v>
      </c>
      <c r="G17">
        <v>2026</v>
      </c>
      <c r="H17" t="s">
        <v>102</v>
      </c>
      <c r="I17" t="s">
        <v>100</v>
      </c>
      <c r="J17" t="s">
        <v>28</v>
      </c>
      <c r="K17" t="s">
        <v>29</v>
      </c>
      <c r="L17">
        <v>9</v>
      </c>
      <c r="M17" t="s">
        <v>30</v>
      </c>
      <c r="N17" t="s">
        <v>31</v>
      </c>
      <c r="O17" t="s">
        <v>32</v>
      </c>
      <c r="P17" t="s">
        <v>33</v>
      </c>
      <c r="Q17" t="s">
        <v>34</v>
      </c>
      <c r="R17" t="str">
        <f t="shared" si="0"/>
        <v>PM</v>
      </c>
      <c r="S17" t="str">
        <f t="shared" si="1"/>
        <v>12</v>
      </c>
      <c r="T17" t="s">
        <v>27</v>
      </c>
    </row>
    <row r="18" spans="1:20" x14ac:dyDescent="0.35">
      <c r="A18">
        <v>20</v>
      </c>
      <c r="B18" s="8">
        <v>19</v>
      </c>
      <c r="C18" t="s">
        <v>12</v>
      </c>
      <c r="D18" t="s">
        <v>50</v>
      </c>
      <c r="E18" t="s">
        <v>93</v>
      </c>
      <c r="F18" t="s">
        <v>420</v>
      </c>
      <c r="G18">
        <v>2026</v>
      </c>
      <c r="H18" t="s">
        <v>107</v>
      </c>
      <c r="I18" t="s">
        <v>95</v>
      </c>
      <c r="J18" t="s">
        <v>96</v>
      </c>
      <c r="K18" t="s">
        <v>29</v>
      </c>
      <c r="L18">
        <v>8</v>
      </c>
      <c r="M18" t="s">
        <v>97</v>
      </c>
      <c r="N18" t="s">
        <v>41</v>
      </c>
      <c r="O18" t="s">
        <v>98</v>
      </c>
      <c r="P18" t="s">
        <v>23</v>
      </c>
      <c r="Q18" t="s">
        <v>99</v>
      </c>
      <c r="R18" t="str">
        <f t="shared" si="0"/>
        <v>PM</v>
      </c>
      <c r="S18" t="str">
        <f t="shared" si="1"/>
        <v>13</v>
      </c>
      <c r="T18" t="s">
        <v>94</v>
      </c>
    </row>
    <row r="19" spans="1:20" x14ac:dyDescent="0.35">
      <c r="A19">
        <v>21</v>
      </c>
      <c r="B19" s="8">
        <v>20</v>
      </c>
      <c r="C19" t="s">
        <v>12</v>
      </c>
      <c r="D19" t="s">
        <v>25</v>
      </c>
      <c r="E19" t="s">
        <v>249</v>
      </c>
      <c r="F19" t="s">
        <v>446</v>
      </c>
      <c r="G19">
        <v>2026</v>
      </c>
      <c r="H19" t="s">
        <v>27</v>
      </c>
      <c r="I19" t="s">
        <v>180</v>
      </c>
      <c r="J19" t="s">
        <v>251</v>
      </c>
      <c r="K19" t="s">
        <v>19</v>
      </c>
      <c r="L19">
        <v>8</v>
      </c>
      <c r="M19" t="s">
        <v>252</v>
      </c>
      <c r="N19" t="s">
        <v>21</v>
      </c>
      <c r="O19" t="s">
        <v>253</v>
      </c>
      <c r="P19" t="s">
        <v>23</v>
      </c>
      <c r="Q19" t="s">
        <v>99</v>
      </c>
      <c r="R19" t="str">
        <f t="shared" si="0"/>
        <v>PM</v>
      </c>
      <c r="S19" t="str">
        <f t="shared" si="1"/>
        <v>14</v>
      </c>
      <c r="T19" t="s">
        <v>250</v>
      </c>
    </row>
    <row r="20" spans="1:20" x14ac:dyDescent="0.35">
      <c r="A20">
        <v>22</v>
      </c>
      <c r="B20" s="8">
        <v>21</v>
      </c>
      <c r="C20" t="s">
        <v>12</v>
      </c>
      <c r="D20" t="s">
        <v>237</v>
      </c>
      <c r="E20" t="s">
        <v>238</v>
      </c>
      <c r="F20" t="s">
        <v>444</v>
      </c>
      <c r="G20">
        <v>2026</v>
      </c>
      <c r="H20" t="s">
        <v>94</v>
      </c>
      <c r="I20" t="s">
        <v>180</v>
      </c>
      <c r="J20" t="s">
        <v>240</v>
      </c>
      <c r="K20" t="s">
        <v>19</v>
      </c>
      <c r="L20">
        <v>9</v>
      </c>
      <c r="M20" t="s">
        <v>241</v>
      </c>
      <c r="N20" t="s">
        <v>21</v>
      </c>
      <c r="O20" t="s">
        <v>242</v>
      </c>
      <c r="P20" t="s">
        <v>23</v>
      </c>
      <c r="Q20" t="s">
        <v>243</v>
      </c>
      <c r="R20" t="str">
        <f t="shared" si="0"/>
        <v>PM</v>
      </c>
      <c r="S20" t="str">
        <f t="shared" si="1"/>
        <v>15</v>
      </c>
      <c r="T20" t="s">
        <v>239</v>
      </c>
    </row>
    <row r="21" spans="1:20" ht="43.5" x14ac:dyDescent="0.35">
      <c r="A21">
        <v>23</v>
      </c>
      <c r="B21" s="8">
        <v>22</v>
      </c>
      <c r="C21" t="s">
        <v>12</v>
      </c>
      <c r="D21" t="s">
        <v>50</v>
      </c>
      <c r="E21" t="s">
        <v>86</v>
      </c>
      <c r="F21" s="2" t="s">
        <v>419</v>
      </c>
      <c r="G21">
        <v>2026</v>
      </c>
      <c r="H21" t="s">
        <v>250</v>
      </c>
      <c r="I21" t="s">
        <v>88</v>
      </c>
      <c r="J21" t="s">
        <v>89</v>
      </c>
      <c r="K21" t="s">
        <v>19</v>
      </c>
      <c r="L21">
        <v>8</v>
      </c>
      <c r="M21" t="s">
        <v>90</v>
      </c>
      <c r="N21" t="s">
        <v>41</v>
      </c>
      <c r="O21" t="s">
        <v>91</v>
      </c>
      <c r="P21" t="s">
        <v>23</v>
      </c>
      <c r="Q21" t="s">
        <v>92</v>
      </c>
      <c r="R21" t="str">
        <f t="shared" si="0"/>
        <v>PM</v>
      </c>
      <c r="S21" t="str">
        <f t="shared" si="1"/>
        <v>16</v>
      </c>
      <c r="T21" t="s">
        <v>87</v>
      </c>
    </row>
    <row r="22" spans="1:20" x14ac:dyDescent="0.35">
      <c r="A22">
        <v>26</v>
      </c>
      <c r="B22" s="8">
        <v>23</v>
      </c>
      <c r="C22" t="s">
        <v>58</v>
      </c>
      <c r="D22" t="s">
        <v>108</v>
      </c>
      <c r="E22" t="s">
        <v>109</v>
      </c>
      <c r="F22" t="s">
        <v>423</v>
      </c>
      <c r="G22">
        <v>2026</v>
      </c>
      <c r="H22" t="s">
        <v>255</v>
      </c>
      <c r="I22" t="s">
        <v>95</v>
      </c>
      <c r="J22" t="s">
        <v>111</v>
      </c>
      <c r="K22" t="s">
        <v>29</v>
      </c>
      <c r="L22">
        <v>7</v>
      </c>
      <c r="M22" t="s">
        <v>112</v>
      </c>
      <c r="N22" t="s">
        <v>113</v>
      </c>
      <c r="O22" t="s">
        <v>114</v>
      </c>
      <c r="P22" t="s">
        <v>23</v>
      </c>
      <c r="Q22" t="s">
        <v>115</v>
      </c>
      <c r="R22" t="str">
        <f t="shared" si="0"/>
        <v>PR</v>
      </c>
      <c r="S22" t="str">
        <f t="shared" si="1"/>
        <v>1</v>
      </c>
      <c r="T22" t="s">
        <v>110</v>
      </c>
    </row>
    <row r="23" spans="1:20" x14ac:dyDescent="0.35">
      <c r="A23">
        <v>27</v>
      </c>
      <c r="B23" s="8">
        <v>24</v>
      </c>
      <c r="C23" t="s">
        <v>58</v>
      </c>
      <c r="D23" t="s">
        <v>108</v>
      </c>
      <c r="E23" t="s">
        <v>116</v>
      </c>
      <c r="F23" t="s">
        <v>424</v>
      </c>
      <c r="G23">
        <v>2026</v>
      </c>
      <c r="H23" t="s">
        <v>110</v>
      </c>
      <c r="I23" t="s">
        <v>95</v>
      </c>
      <c r="J23" t="s">
        <v>118</v>
      </c>
      <c r="K23" t="s">
        <v>29</v>
      </c>
      <c r="L23">
        <v>6</v>
      </c>
      <c r="M23" t="s">
        <v>119</v>
      </c>
      <c r="N23" t="s">
        <v>41</v>
      </c>
      <c r="O23" t="s">
        <v>120</v>
      </c>
      <c r="P23" t="s">
        <v>23</v>
      </c>
      <c r="Q23" t="s">
        <v>33</v>
      </c>
      <c r="R23" t="str">
        <f t="shared" si="0"/>
        <v>PR</v>
      </c>
      <c r="S23" t="str">
        <f t="shared" si="1"/>
        <v>2</v>
      </c>
      <c r="T23" t="s">
        <v>117</v>
      </c>
    </row>
    <row r="24" spans="1:20" x14ac:dyDescent="0.35">
      <c r="A24">
        <v>28</v>
      </c>
      <c r="B24" s="8">
        <v>25</v>
      </c>
      <c r="C24" t="s">
        <v>58</v>
      </c>
      <c r="D24" t="s">
        <v>59</v>
      </c>
      <c r="E24" t="s">
        <v>267</v>
      </c>
      <c r="F24" t="s">
        <v>449</v>
      </c>
      <c r="G24">
        <v>2026</v>
      </c>
      <c r="H24" t="s">
        <v>117</v>
      </c>
      <c r="I24" t="s">
        <v>180</v>
      </c>
      <c r="J24" t="s">
        <v>269</v>
      </c>
      <c r="K24" t="s">
        <v>29</v>
      </c>
      <c r="L24">
        <v>8</v>
      </c>
      <c r="M24" t="s">
        <v>270</v>
      </c>
      <c r="N24" t="s">
        <v>21</v>
      </c>
      <c r="O24" t="s">
        <v>271</v>
      </c>
      <c r="P24" t="s">
        <v>23</v>
      </c>
      <c r="Q24" t="s">
        <v>259</v>
      </c>
      <c r="R24" t="str">
        <f t="shared" si="0"/>
        <v>PR</v>
      </c>
      <c r="S24" t="str">
        <f t="shared" si="1"/>
        <v>3</v>
      </c>
      <c r="T24" t="s">
        <v>268</v>
      </c>
    </row>
    <row r="25" spans="1:20" x14ac:dyDescent="0.35">
      <c r="A25">
        <v>29</v>
      </c>
      <c r="B25" s="8">
        <v>26</v>
      </c>
      <c r="C25" t="s">
        <v>58</v>
      </c>
      <c r="D25" t="s">
        <v>59</v>
      </c>
      <c r="E25" t="s">
        <v>60</v>
      </c>
      <c r="F25" t="s">
        <v>416</v>
      </c>
      <c r="G25">
        <v>2026</v>
      </c>
      <c r="H25" t="s">
        <v>262</v>
      </c>
      <c r="I25" t="s">
        <v>62</v>
      </c>
      <c r="J25" t="s">
        <v>63</v>
      </c>
      <c r="K25" t="s">
        <v>29</v>
      </c>
      <c r="L25">
        <v>7</v>
      </c>
      <c r="M25" t="s">
        <v>64</v>
      </c>
      <c r="N25" t="s">
        <v>41</v>
      </c>
      <c r="O25" t="s">
        <v>65</v>
      </c>
      <c r="P25" t="s">
        <v>23</v>
      </c>
      <c r="Q25" t="s">
        <v>66</v>
      </c>
      <c r="R25" t="str">
        <f t="shared" si="0"/>
        <v>PR</v>
      </c>
      <c r="S25" t="str">
        <f t="shared" si="1"/>
        <v>4</v>
      </c>
      <c r="T25" t="s">
        <v>61</v>
      </c>
    </row>
    <row r="26" spans="1:20" x14ac:dyDescent="0.35">
      <c r="A26">
        <v>30</v>
      </c>
      <c r="B26" s="8">
        <v>27</v>
      </c>
      <c r="C26" t="s">
        <v>58</v>
      </c>
      <c r="D26" t="s">
        <v>67</v>
      </c>
      <c r="E26" t="s">
        <v>174</v>
      </c>
      <c r="F26" t="s">
        <v>433</v>
      </c>
      <c r="G26">
        <v>2026</v>
      </c>
      <c r="H26" t="s">
        <v>476</v>
      </c>
      <c r="I26" t="s">
        <v>163</v>
      </c>
      <c r="J26" t="s">
        <v>176</v>
      </c>
      <c r="K26" t="s">
        <v>19</v>
      </c>
      <c r="L26">
        <v>8</v>
      </c>
      <c r="M26" t="s">
        <v>177</v>
      </c>
      <c r="N26" t="s">
        <v>41</v>
      </c>
      <c r="O26" t="s">
        <v>178</v>
      </c>
      <c r="P26" t="s">
        <v>23</v>
      </c>
      <c r="Q26" t="s">
        <v>179</v>
      </c>
      <c r="R26" t="str">
        <f t="shared" si="0"/>
        <v>PR</v>
      </c>
      <c r="S26" t="str">
        <f t="shared" si="1"/>
        <v>5</v>
      </c>
      <c r="T26" t="s">
        <v>175</v>
      </c>
    </row>
    <row r="27" spans="1:20" x14ac:dyDescent="0.35">
      <c r="A27">
        <v>31</v>
      </c>
      <c r="B27" s="8">
        <v>28</v>
      </c>
      <c r="C27" t="s">
        <v>58</v>
      </c>
      <c r="D27" t="s">
        <v>121</v>
      </c>
      <c r="E27" t="s">
        <v>281</v>
      </c>
      <c r="F27" t="s">
        <v>452</v>
      </c>
      <c r="G27">
        <v>2026</v>
      </c>
      <c r="H27" t="s">
        <v>268</v>
      </c>
      <c r="I27" t="s">
        <v>180</v>
      </c>
      <c r="J27" t="s">
        <v>283</v>
      </c>
      <c r="K27" t="s">
        <v>29</v>
      </c>
      <c r="L27">
        <v>9</v>
      </c>
      <c r="M27" t="s">
        <v>284</v>
      </c>
      <c r="N27" t="s">
        <v>285</v>
      </c>
      <c r="O27" t="s">
        <v>286</v>
      </c>
      <c r="P27" t="s">
        <v>33</v>
      </c>
      <c r="Q27" t="s">
        <v>280</v>
      </c>
      <c r="R27" t="str">
        <f t="shared" si="0"/>
        <v>PR</v>
      </c>
      <c r="S27" t="str">
        <f t="shared" si="1"/>
        <v>6</v>
      </c>
      <c r="T27" t="s">
        <v>282</v>
      </c>
    </row>
    <row r="28" spans="1:20" x14ac:dyDescent="0.35">
      <c r="A28">
        <v>32</v>
      </c>
      <c r="B28" s="8">
        <v>29</v>
      </c>
      <c r="C28" t="s">
        <v>58</v>
      </c>
      <c r="D28" t="s">
        <v>121</v>
      </c>
      <c r="E28" t="s">
        <v>287</v>
      </c>
      <c r="F28" t="s">
        <v>453</v>
      </c>
      <c r="G28">
        <v>2026</v>
      </c>
      <c r="H28" t="s">
        <v>61</v>
      </c>
      <c r="I28" t="s">
        <v>180</v>
      </c>
      <c r="J28" t="s">
        <v>289</v>
      </c>
      <c r="K28" t="s">
        <v>29</v>
      </c>
      <c r="L28">
        <v>9</v>
      </c>
      <c r="M28" t="s">
        <v>290</v>
      </c>
      <c r="N28" t="s">
        <v>285</v>
      </c>
      <c r="O28" t="s">
        <v>291</v>
      </c>
      <c r="P28" t="s">
        <v>23</v>
      </c>
      <c r="Q28" t="s">
        <v>164</v>
      </c>
      <c r="R28" t="str">
        <f t="shared" si="0"/>
        <v>PR</v>
      </c>
      <c r="S28" t="str">
        <f t="shared" si="1"/>
        <v>7</v>
      </c>
      <c r="T28" t="s">
        <v>288</v>
      </c>
    </row>
    <row r="29" spans="1:20" x14ac:dyDescent="0.35">
      <c r="A29">
        <v>33</v>
      </c>
      <c r="B29" s="8">
        <v>30</v>
      </c>
      <c r="C29" t="s">
        <v>58</v>
      </c>
      <c r="D29" t="s">
        <v>121</v>
      </c>
      <c r="E29" t="s">
        <v>122</v>
      </c>
      <c r="F29" t="s">
        <v>425</v>
      </c>
      <c r="G29">
        <v>2026</v>
      </c>
      <c r="H29" t="s">
        <v>175</v>
      </c>
      <c r="I29" t="s">
        <v>95</v>
      </c>
      <c r="J29" t="s">
        <v>124</v>
      </c>
      <c r="K29" t="s">
        <v>29</v>
      </c>
      <c r="L29">
        <v>7</v>
      </c>
      <c r="M29" t="s">
        <v>125</v>
      </c>
      <c r="N29" t="s">
        <v>41</v>
      </c>
      <c r="O29" t="s">
        <v>126</v>
      </c>
      <c r="P29" t="s">
        <v>23</v>
      </c>
      <c r="Q29" t="s">
        <v>124</v>
      </c>
      <c r="R29" t="str">
        <f t="shared" si="0"/>
        <v>PR</v>
      </c>
      <c r="S29" t="str">
        <f t="shared" si="1"/>
        <v>8</v>
      </c>
      <c r="T29" t="s">
        <v>123</v>
      </c>
    </row>
    <row r="30" spans="1:20" x14ac:dyDescent="0.35">
      <c r="A30">
        <v>40</v>
      </c>
      <c r="B30" s="8">
        <v>31</v>
      </c>
      <c r="C30" t="s">
        <v>73</v>
      </c>
      <c r="D30" t="s">
        <v>74</v>
      </c>
      <c r="E30" t="s">
        <v>306</v>
      </c>
      <c r="F30" t="s">
        <v>456</v>
      </c>
      <c r="G30">
        <v>2026</v>
      </c>
      <c r="H30" t="s">
        <v>307</v>
      </c>
      <c r="I30" t="s">
        <v>180</v>
      </c>
      <c r="J30" t="s">
        <v>308</v>
      </c>
      <c r="K30" t="s">
        <v>19</v>
      </c>
      <c r="L30">
        <v>9</v>
      </c>
      <c r="M30" t="s">
        <v>309</v>
      </c>
      <c r="N30" t="s">
        <v>285</v>
      </c>
      <c r="O30" t="s">
        <v>310</v>
      </c>
      <c r="P30" t="s">
        <v>33</v>
      </c>
      <c r="Q30" t="s">
        <v>187</v>
      </c>
      <c r="R30" t="str">
        <f t="shared" si="0"/>
        <v>TL</v>
      </c>
      <c r="S30" t="str">
        <f t="shared" si="1"/>
        <v>1</v>
      </c>
      <c r="T30" t="s">
        <v>307</v>
      </c>
    </row>
    <row r="31" spans="1:20" x14ac:dyDescent="0.35">
      <c r="A31">
        <v>41</v>
      </c>
      <c r="B31" s="8">
        <v>32</v>
      </c>
      <c r="C31" t="s">
        <v>73</v>
      </c>
      <c r="D31" t="s">
        <v>181</v>
      </c>
      <c r="E31" t="s">
        <v>292</v>
      </c>
      <c r="F31" t="s">
        <v>454</v>
      </c>
      <c r="G31">
        <v>2026</v>
      </c>
      <c r="H31" t="s">
        <v>482</v>
      </c>
      <c r="I31" t="s">
        <v>180</v>
      </c>
      <c r="J31" t="s">
        <v>294</v>
      </c>
      <c r="K31" t="s">
        <v>29</v>
      </c>
      <c r="L31">
        <v>7</v>
      </c>
      <c r="M31" t="s">
        <v>295</v>
      </c>
      <c r="N31" t="s">
        <v>195</v>
      </c>
      <c r="O31" t="s">
        <v>296</v>
      </c>
      <c r="P31" t="s">
        <v>297</v>
      </c>
      <c r="Q31" t="s">
        <v>298</v>
      </c>
      <c r="R31" t="str">
        <f t="shared" si="0"/>
        <v>TL</v>
      </c>
      <c r="S31" t="str">
        <f t="shared" si="1"/>
        <v>2</v>
      </c>
      <c r="T31" t="s">
        <v>293</v>
      </c>
    </row>
    <row r="32" spans="1:20" ht="72.5" x14ac:dyDescent="0.35">
      <c r="A32">
        <v>42</v>
      </c>
      <c r="B32" s="8">
        <v>33</v>
      </c>
      <c r="C32" t="s">
        <v>73</v>
      </c>
      <c r="D32" t="s">
        <v>193</v>
      </c>
      <c r="E32" t="s">
        <v>194</v>
      </c>
      <c r="F32" s="2" t="s">
        <v>501</v>
      </c>
      <c r="G32">
        <v>2026</v>
      </c>
      <c r="H32" t="s">
        <v>483</v>
      </c>
      <c r="I32" t="s">
        <v>499</v>
      </c>
      <c r="J32" t="s">
        <v>147</v>
      </c>
      <c r="K32" t="s">
        <v>136</v>
      </c>
      <c r="L32">
        <v>8</v>
      </c>
      <c r="M32" s="2" t="s">
        <v>408</v>
      </c>
      <c r="N32" t="s">
        <v>113</v>
      </c>
      <c r="O32" s="2" t="s">
        <v>409</v>
      </c>
      <c r="P32" t="s">
        <v>23</v>
      </c>
      <c r="Q32" s="2" t="s">
        <v>410</v>
      </c>
      <c r="R32" t="str">
        <f t="shared" si="0"/>
        <v>TL</v>
      </c>
      <c r="S32" t="str">
        <f t="shared" si="1"/>
        <v>3</v>
      </c>
      <c r="T32" t="s">
        <v>312</v>
      </c>
    </row>
    <row r="33" spans="1:20" ht="29" x14ac:dyDescent="0.35">
      <c r="A33">
        <v>51</v>
      </c>
      <c r="B33" s="8">
        <v>35</v>
      </c>
      <c r="C33" t="s">
        <v>502</v>
      </c>
      <c r="D33" t="s">
        <v>44</v>
      </c>
      <c r="E33" t="s">
        <v>212</v>
      </c>
      <c r="F33" s="2" t="s">
        <v>472</v>
      </c>
      <c r="G33">
        <v>2026</v>
      </c>
      <c r="H33" t="s">
        <v>486</v>
      </c>
      <c r="I33" t="s">
        <v>163</v>
      </c>
      <c r="J33" t="s">
        <v>214</v>
      </c>
      <c r="K33" t="s">
        <v>19</v>
      </c>
      <c r="L33">
        <v>9</v>
      </c>
      <c r="M33" t="s">
        <v>215</v>
      </c>
      <c r="N33" t="s">
        <v>216</v>
      </c>
      <c r="O33" t="s">
        <v>217</v>
      </c>
      <c r="P33" t="s">
        <v>84</v>
      </c>
      <c r="Q33" t="s">
        <v>218</v>
      </c>
      <c r="R33" t="str">
        <f t="shared" si="0"/>
        <v>WD</v>
      </c>
      <c r="S33" t="str">
        <f t="shared" si="1"/>
        <v>1</v>
      </c>
      <c r="T33" t="s">
        <v>213</v>
      </c>
    </row>
    <row r="34" spans="1:20" x14ac:dyDescent="0.35">
      <c r="A34">
        <v>52</v>
      </c>
      <c r="B34" s="8">
        <v>36</v>
      </c>
      <c r="C34" t="s">
        <v>502</v>
      </c>
      <c r="D34" t="s">
        <v>44</v>
      </c>
      <c r="E34" t="s">
        <v>206</v>
      </c>
      <c r="F34" t="s">
        <v>438</v>
      </c>
      <c r="G34">
        <v>2026</v>
      </c>
      <c r="H34" t="s">
        <v>386</v>
      </c>
      <c r="I34" t="s">
        <v>163</v>
      </c>
      <c r="J34" t="s">
        <v>208</v>
      </c>
      <c r="K34" t="s">
        <v>19</v>
      </c>
      <c r="L34">
        <v>8</v>
      </c>
      <c r="M34" t="s">
        <v>209</v>
      </c>
      <c r="N34" t="s">
        <v>31</v>
      </c>
      <c r="O34" t="s">
        <v>210</v>
      </c>
      <c r="P34" t="s">
        <v>23</v>
      </c>
      <c r="Q34" t="s">
        <v>211</v>
      </c>
      <c r="R34" t="str">
        <f t="shared" ref="R34:R68" si="2" xml:space="preserve"> LEFT(H34, 2)</f>
        <v>WD</v>
      </c>
      <c r="S34" t="str">
        <f t="shared" ref="S34:S68" si="3">RIGHT(H34,LEN(H34)-2)</f>
        <v>2</v>
      </c>
      <c r="T34" t="s">
        <v>207</v>
      </c>
    </row>
    <row r="35" spans="1:20" x14ac:dyDescent="0.35">
      <c r="A35">
        <v>53</v>
      </c>
      <c r="B35" s="8">
        <v>37</v>
      </c>
      <c r="C35" t="s">
        <v>502</v>
      </c>
      <c r="D35" t="s">
        <v>44</v>
      </c>
      <c r="E35" t="s">
        <v>380</v>
      </c>
      <c r="F35" t="s">
        <v>466</v>
      </c>
      <c r="G35">
        <v>2026</v>
      </c>
      <c r="H35" t="s">
        <v>389</v>
      </c>
      <c r="I35" t="s">
        <v>180</v>
      </c>
      <c r="J35" t="s">
        <v>382</v>
      </c>
      <c r="K35" t="s">
        <v>136</v>
      </c>
      <c r="L35">
        <v>8</v>
      </c>
      <c r="M35" t="s">
        <v>383</v>
      </c>
      <c r="N35" t="s">
        <v>149</v>
      </c>
      <c r="O35" t="s">
        <v>384</v>
      </c>
      <c r="P35" t="s">
        <v>324</v>
      </c>
      <c r="Q35" t="s">
        <v>385</v>
      </c>
      <c r="R35" t="str">
        <f t="shared" si="2"/>
        <v>WD</v>
      </c>
      <c r="S35" t="str">
        <f t="shared" si="3"/>
        <v>3</v>
      </c>
      <c r="T35" t="s">
        <v>381</v>
      </c>
    </row>
    <row r="36" spans="1:20" x14ac:dyDescent="0.35">
      <c r="A36">
        <v>54</v>
      </c>
      <c r="B36" s="8">
        <v>38</v>
      </c>
      <c r="C36" t="s">
        <v>502</v>
      </c>
      <c r="D36" t="s">
        <v>44</v>
      </c>
      <c r="E36" t="s">
        <v>200</v>
      </c>
      <c r="F36" t="s">
        <v>471</v>
      </c>
      <c r="G36">
        <v>2026</v>
      </c>
      <c r="H36" t="s">
        <v>213</v>
      </c>
      <c r="I36" t="s">
        <v>163</v>
      </c>
      <c r="J36" t="s">
        <v>202</v>
      </c>
      <c r="K36" t="s">
        <v>29</v>
      </c>
      <c r="L36">
        <v>6</v>
      </c>
      <c r="M36" t="s">
        <v>203</v>
      </c>
      <c r="N36" t="s">
        <v>195</v>
      </c>
      <c r="O36" t="s">
        <v>204</v>
      </c>
      <c r="P36" t="s">
        <v>202</v>
      </c>
      <c r="Q36" t="s">
        <v>205</v>
      </c>
      <c r="R36" t="str">
        <f t="shared" si="2"/>
        <v>WD</v>
      </c>
      <c r="S36" t="str">
        <f t="shared" si="3"/>
        <v>4</v>
      </c>
      <c r="T36" t="s">
        <v>201</v>
      </c>
    </row>
    <row r="37" spans="1:20" x14ac:dyDescent="0.35">
      <c r="A37">
        <v>55</v>
      </c>
      <c r="B37" s="8">
        <v>39</v>
      </c>
      <c r="C37" t="s">
        <v>502</v>
      </c>
      <c r="D37" t="s">
        <v>44</v>
      </c>
      <c r="F37" t="s">
        <v>414</v>
      </c>
      <c r="G37">
        <v>2026</v>
      </c>
      <c r="H37" t="s">
        <v>207</v>
      </c>
      <c r="I37" t="s">
        <v>17</v>
      </c>
      <c r="J37" t="s">
        <v>46</v>
      </c>
      <c r="K37" t="s">
        <v>29</v>
      </c>
      <c r="L37">
        <v>8</v>
      </c>
      <c r="M37" t="s">
        <v>47</v>
      </c>
      <c r="N37" t="s">
        <v>41</v>
      </c>
      <c r="O37" t="s">
        <v>48</v>
      </c>
      <c r="P37" t="s">
        <v>23</v>
      </c>
      <c r="Q37" t="s">
        <v>49</v>
      </c>
      <c r="R37" t="str">
        <f t="shared" si="2"/>
        <v>WD</v>
      </c>
      <c r="S37" t="str">
        <f t="shared" si="3"/>
        <v>5</v>
      </c>
      <c r="T37" t="s">
        <v>45</v>
      </c>
    </row>
    <row r="38" spans="1:20" x14ac:dyDescent="0.35">
      <c r="A38">
        <v>56</v>
      </c>
      <c r="B38" s="8">
        <v>40</v>
      </c>
      <c r="C38" t="s">
        <v>502</v>
      </c>
      <c r="D38" t="s">
        <v>348</v>
      </c>
      <c r="E38" t="s">
        <v>349</v>
      </c>
      <c r="F38" t="s">
        <v>461</v>
      </c>
      <c r="G38">
        <v>2026</v>
      </c>
      <c r="H38" t="s">
        <v>146</v>
      </c>
      <c r="I38" t="s">
        <v>180</v>
      </c>
      <c r="J38" t="s">
        <v>46</v>
      </c>
      <c r="K38" t="s">
        <v>29</v>
      </c>
      <c r="L38">
        <v>8</v>
      </c>
      <c r="M38" t="s">
        <v>351</v>
      </c>
      <c r="N38" t="s">
        <v>352</v>
      </c>
      <c r="O38" t="s">
        <v>353</v>
      </c>
      <c r="P38" t="s">
        <v>23</v>
      </c>
      <c r="Q38" t="s">
        <v>49</v>
      </c>
      <c r="R38" t="str">
        <f t="shared" si="2"/>
        <v>WD</v>
      </c>
      <c r="S38" t="str">
        <f t="shared" si="3"/>
        <v>6</v>
      </c>
      <c r="T38" t="s">
        <v>350</v>
      </c>
    </row>
    <row r="39" spans="1:20" x14ac:dyDescent="0.35">
      <c r="A39">
        <v>5</v>
      </c>
      <c r="B39" s="8">
        <v>41</v>
      </c>
      <c r="C39" t="s">
        <v>35</v>
      </c>
      <c r="D39" t="s">
        <v>36</v>
      </c>
      <c r="E39" t="s">
        <v>330</v>
      </c>
      <c r="F39" t="s">
        <v>459</v>
      </c>
      <c r="G39">
        <v>2027</v>
      </c>
      <c r="H39" t="s">
        <v>38</v>
      </c>
      <c r="I39" t="s">
        <v>180</v>
      </c>
      <c r="J39" t="s">
        <v>332</v>
      </c>
      <c r="K39" t="s">
        <v>19</v>
      </c>
      <c r="L39">
        <v>8</v>
      </c>
      <c r="M39" t="s">
        <v>20</v>
      </c>
      <c r="N39" t="s">
        <v>21</v>
      </c>
      <c r="O39" t="s">
        <v>22</v>
      </c>
      <c r="P39" t="s">
        <v>23</v>
      </c>
      <c r="Q39" t="s">
        <v>333</v>
      </c>
      <c r="R39" t="str">
        <f t="shared" si="2"/>
        <v>FI</v>
      </c>
      <c r="S39" t="str">
        <f t="shared" si="3"/>
        <v>7</v>
      </c>
      <c r="T39" t="s">
        <v>331</v>
      </c>
    </row>
    <row r="40" spans="1:20" x14ac:dyDescent="0.35">
      <c r="A40">
        <v>6</v>
      </c>
      <c r="B40" s="8">
        <v>42</v>
      </c>
      <c r="C40" t="s">
        <v>35</v>
      </c>
      <c r="D40" t="s">
        <v>36</v>
      </c>
      <c r="E40" t="s">
        <v>37</v>
      </c>
      <c r="F40" t="s">
        <v>413</v>
      </c>
      <c r="G40">
        <v>2027</v>
      </c>
      <c r="H40" t="s">
        <v>140</v>
      </c>
      <c r="I40" t="s">
        <v>17</v>
      </c>
      <c r="J40" t="s">
        <v>39</v>
      </c>
      <c r="K40" t="s">
        <v>19</v>
      </c>
      <c r="L40">
        <v>9</v>
      </c>
      <c r="M40" t="s">
        <v>40</v>
      </c>
      <c r="N40" t="s">
        <v>41</v>
      </c>
      <c r="O40" t="s">
        <v>42</v>
      </c>
      <c r="P40" t="s">
        <v>23</v>
      </c>
      <c r="Q40" t="s">
        <v>43</v>
      </c>
      <c r="R40" t="str">
        <f t="shared" si="2"/>
        <v>FI</v>
      </c>
      <c r="S40" t="str">
        <f t="shared" si="3"/>
        <v>8</v>
      </c>
      <c r="T40" t="s">
        <v>38</v>
      </c>
    </row>
    <row r="41" spans="1:20" ht="29" x14ac:dyDescent="0.35">
      <c r="A41">
        <v>7</v>
      </c>
      <c r="B41" s="8">
        <v>43</v>
      </c>
      <c r="C41" t="s">
        <v>35</v>
      </c>
      <c r="D41" t="s">
        <v>334</v>
      </c>
      <c r="E41" t="s">
        <v>335</v>
      </c>
      <c r="F41" s="2" t="s">
        <v>460</v>
      </c>
      <c r="G41">
        <v>2027</v>
      </c>
      <c r="H41" t="s">
        <v>320</v>
      </c>
      <c r="I41" t="s">
        <v>180</v>
      </c>
      <c r="J41" t="s">
        <v>337</v>
      </c>
      <c r="K41" t="s">
        <v>19</v>
      </c>
      <c r="L41">
        <v>8</v>
      </c>
      <c r="M41" t="s">
        <v>338</v>
      </c>
      <c r="N41" t="s">
        <v>31</v>
      </c>
      <c r="O41" t="s">
        <v>339</v>
      </c>
      <c r="P41" t="s">
        <v>23</v>
      </c>
      <c r="Q41" t="s">
        <v>340</v>
      </c>
      <c r="R41" t="str">
        <f t="shared" si="2"/>
        <v>FI</v>
      </c>
      <c r="S41" t="str">
        <f t="shared" si="3"/>
        <v>9</v>
      </c>
      <c r="T41" t="s">
        <v>336</v>
      </c>
    </row>
    <row r="42" spans="1:20" x14ac:dyDescent="0.35">
      <c r="A42">
        <v>34</v>
      </c>
      <c r="B42" s="8">
        <v>44</v>
      </c>
      <c r="C42" t="s">
        <v>58</v>
      </c>
      <c r="D42" t="s">
        <v>108</v>
      </c>
      <c r="E42" t="s">
        <v>254</v>
      </c>
      <c r="F42" t="s">
        <v>447</v>
      </c>
      <c r="G42">
        <v>2027</v>
      </c>
      <c r="H42" t="s">
        <v>272</v>
      </c>
      <c r="I42" t="s">
        <v>180</v>
      </c>
      <c r="J42" t="s">
        <v>256</v>
      </c>
      <c r="K42" t="s">
        <v>19</v>
      </c>
      <c r="L42">
        <v>9</v>
      </c>
      <c r="M42" t="s">
        <v>257</v>
      </c>
      <c r="N42" t="s">
        <v>21</v>
      </c>
      <c r="O42" t="s">
        <v>258</v>
      </c>
      <c r="P42" t="s">
        <v>23</v>
      </c>
      <c r="Q42" t="s">
        <v>259</v>
      </c>
      <c r="R42" t="str">
        <f t="shared" si="2"/>
        <v>PR</v>
      </c>
      <c r="S42" t="str">
        <f t="shared" si="3"/>
        <v>9</v>
      </c>
      <c r="T42" t="s">
        <v>255</v>
      </c>
    </row>
    <row r="43" spans="1:20" x14ac:dyDescent="0.35">
      <c r="A43">
        <v>35</v>
      </c>
      <c r="B43" s="8">
        <v>45</v>
      </c>
      <c r="C43" t="s">
        <v>58</v>
      </c>
      <c r="D43" t="s">
        <v>260</v>
      </c>
      <c r="E43" t="s">
        <v>261</v>
      </c>
      <c r="F43" t="s">
        <v>448</v>
      </c>
      <c r="G43">
        <v>2027</v>
      </c>
      <c r="H43" t="s">
        <v>69</v>
      </c>
      <c r="I43" t="s">
        <v>180</v>
      </c>
      <c r="J43" t="s">
        <v>263</v>
      </c>
      <c r="K43" t="s">
        <v>19</v>
      </c>
      <c r="L43">
        <v>8</v>
      </c>
      <c r="M43" t="s">
        <v>264</v>
      </c>
      <c r="N43" t="s">
        <v>21</v>
      </c>
      <c r="O43" t="s">
        <v>265</v>
      </c>
      <c r="P43" t="s">
        <v>23</v>
      </c>
      <c r="Q43" t="s">
        <v>266</v>
      </c>
      <c r="R43" t="str">
        <f t="shared" si="2"/>
        <v>PR</v>
      </c>
      <c r="S43" t="str">
        <f t="shared" si="3"/>
        <v>10</v>
      </c>
      <c r="T43" t="s">
        <v>262</v>
      </c>
    </row>
    <row r="44" spans="1:20" s="6" customFormat="1" x14ac:dyDescent="0.35">
      <c r="A44">
        <v>36</v>
      </c>
      <c r="B44" s="8">
        <v>46</v>
      </c>
      <c r="C44" t="s">
        <v>58</v>
      </c>
      <c r="D44" t="s">
        <v>67</v>
      </c>
      <c r="E44" t="s">
        <v>68</v>
      </c>
      <c r="F44" t="s">
        <v>450</v>
      </c>
      <c r="G44">
        <v>2027</v>
      </c>
      <c r="H44" t="s">
        <v>481</v>
      </c>
      <c r="I44" t="s">
        <v>180</v>
      </c>
      <c r="J44" t="s">
        <v>24</v>
      </c>
      <c r="K44" t="s">
        <v>19</v>
      </c>
      <c r="L44">
        <v>9</v>
      </c>
      <c r="M44" t="s">
        <v>273</v>
      </c>
      <c r="N44" t="s">
        <v>21</v>
      </c>
      <c r="O44" t="s">
        <v>274</v>
      </c>
      <c r="P44" t="s">
        <v>23</v>
      </c>
      <c r="Q44" t="s">
        <v>105</v>
      </c>
      <c r="R44" t="str">
        <f t="shared" si="2"/>
        <v>PR</v>
      </c>
      <c r="S44" t="str">
        <f t="shared" si="3"/>
        <v>11</v>
      </c>
      <c r="T44" t="s">
        <v>272</v>
      </c>
    </row>
    <row r="45" spans="1:20" x14ac:dyDescent="0.35">
      <c r="A45">
        <v>37</v>
      </c>
      <c r="B45" s="8">
        <v>47</v>
      </c>
      <c r="C45" t="s">
        <v>58</v>
      </c>
      <c r="D45" t="s">
        <v>67</v>
      </c>
      <c r="E45" t="s">
        <v>68</v>
      </c>
      <c r="F45" t="s">
        <v>417</v>
      </c>
      <c r="G45">
        <v>2027</v>
      </c>
      <c r="H45" t="s">
        <v>276</v>
      </c>
      <c r="I45" t="s">
        <v>62</v>
      </c>
      <c r="J45" t="s">
        <v>70</v>
      </c>
      <c r="K45" t="s">
        <v>19</v>
      </c>
      <c r="L45">
        <v>8</v>
      </c>
      <c r="M45" t="s">
        <v>71</v>
      </c>
      <c r="N45" t="s">
        <v>41</v>
      </c>
      <c r="O45" t="s">
        <v>72</v>
      </c>
      <c r="P45" t="s">
        <v>23</v>
      </c>
      <c r="Q45" t="s">
        <v>70</v>
      </c>
      <c r="R45" t="str">
        <f t="shared" si="2"/>
        <v>PR</v>
      </c>
      <c r="S45" t="str">
        <f t="shared" si="3"/>
        <v>12</v>
      </c>
      <c r="T45" t="s">
        <v>69</v>
      </c>
    </row>
    <row r="46" spans="1:20" x14ac:dyDescent="0.35">
      <c r="A46">
        <v>38</v>
      </c>
      <c r="B46" s="8">
        <v>48</v>
      </c>
      <c r="C46" t="s">
        <v>58</v>
      </c>
      <c r="D46" t="s">
        <v>121</v>
      </c>
      <c r="E46" t="s">
        <v>275</v>
      </c>
      <c r="F46" t="s">
        <v>451</v>
      </c>
      <c r="G46">
        <v>2027</v>
      </c>
      <c r="H46" t="s">
        <v>282</v>
      </c>
      <c r="I46" t="s">
        <v>180</v>
      </c>
      <c r="J46" t="s">
        <v>277</v>
      </c>
      <c r="K46" t="s">
        <v>19</v>
      </c>
      <c r="L46">
        <v>9</v>
      </c>
      <c r="M46" t="s">
        <v>278</v>
      </c>
      <c r="N46" t="s">
        <v>113</v>
      </c>
      <c r="O46" t="s">
        <v>279</v>
      </c>
      <c r="P46" t="s">
        <v>33</v>
      </c>
      <c r="Q46" t="s">
        <v>280</v>
      </c>
      <c r="R46" t="str">
        <f t="shared" si="2"/>
        <v>PR</v>
      </c>
      <c r="S46" t="str">
        <f t="shared" si="3"/>
        <v>13</v>
      </c>
      <c r="T46" t="s">
        <v>276</v>
      </c>
    </row>
    <row r="47" spans="1:20" ht="58" x14ac:dyDescent="0.35">
      <c r="A47">
        <v>39</v>
      </c>
      <c r="B47" s="8">
        <v>49</v>
      </c>
      <c r="C47" t="s">
        <v>58</v>
      </c>
      <c r="D47" t="s">
        <v>67</v>
      </c>
      <c r="E47" t="s">
        <v>68</v>
      </c>
      <c r="F47" s="2" t="s">
        <v>434</v>
      </c>
      <c r="G47">
        <v>2027</v>
      </c>
      <c r="H47" t="s">
        <v>288</v>
      </c>
      <c r="I47" t="s">
        <v>180</v>
      </c>
      <c r="R47" t="str">
        <f t="shared" si="2"/>
        <v>PR</v>
      </c>
      <c r="S47" t="str">
        <f t="shared" si="3"/>
        <v>14</v>
      </c>
      <c r="T47" t="s">
        <v>476</v>
      </c>
    </row>
    <row r="48" spans="1:20" ht="87" x14ac:dyDescent="0.35">
      <c r="A48">
        <v>43</v>
      </c>
      <c r="B48" s="8">
        <v>50</v>
      </c>
      <c r="C48" t="s">
        <v>73</v>
      </c>
      <c r="D48" t="s">
        <v>74</v>
      </c>
      <c r="E48" t="s">
        <v>80</v>
      </c>
      <c r="F48" s="2" t="s">
        <v>488</v>
      </c>
      <c r="G48">
        <v>2027</v>
      </c>
      <c r="H48" t="s">
        <v>76</v>
      </c>
      <c r="I48" t="s">
        <v>489</v>
      </c>
      <c r="J48" s="2" t="s">
        <v>263</v>
      </c>
      <c r="K48" t="s">
        <v>19</v>
      </c>
      <c r="L48">
        <v>7</v>
      </c>
      <c r="M48" s="2" t="s">
        <v>406</v>
      </c>
      <c r="N48" t="s">
        <v>405</v>
      </c>
      <c r="O48" s="2" t="s">
        <v>490</v>
      </c>
      <c r="P48" s="3" t="s">
        <v>70</v>
      </c>
      <c r="Q48" s="4" t="s">
        <v>407</v>
      </c>
      <c r="R48" t="str">
        <f t="shared" si="2"/>
        <v>TL</v>
      </c>
      <c r="S48" t="str">
        <f t="shared" si="3"/>
        <v>5</v>
      </c>
      <c r="T48" t="s">
        <v>311</v>
      </c>
    </row>
    <row r="49" spans="1:20" x14ac:dyDescent="0.35">
      <c r="A49">
        <v>44</v>
      </c>
      <c r="B49" s="8">
        <v>51</v>
      </c>
      <c r="C49" t="s">
        <v>73</v>
      </c>
      <c r="D49" t="s">
        <v>74</v>
      </c>
      <c r="E49" t="s">
        <v>75</v>
      </c>
      <c r="F49" t="s">
        <v>418</v>
      </c>
      <c r="G49">
        <v>2027</v>
      </c>
      <c r="H49" t="s">
        <v>135</v>
      </c>
      <c r="I49" t="s">
        <v>62</v>
      </c>
      <c r="J49" t="s">
        <v>77</v>
      </c>
      <c r="K49" t="s">
        <v>29</v>
      </c>
      <c r="L49">
        <v>8</v>
      </c>
      <c r="M49" t="s">
        <v>78</v>
      </c>
      <c r="N49" t="s">
        <v>41</v>
      </c>
      <c r="O49" t="s">
        <v>79</v>
      </c>
      <c r="P49" t="s">
        <v>77</v>
      </c>
      <c r="Q49" t="s">
        <v>77</v>
      </c>
      <c r="R49" t="str">
        <f t="shared" si="2"/>
        <v>TL</v>
      </c>
      <c r="S49" t="str">
        <f t="shared" si="3"/>
        <v>6</v>
      </c>
      <c r="T49" t="s">
        <v>76</v>
      </c>
    </row>
    <row r="50" spans="1:20" x14ac:dyDescent="0.35">
      <c r="A50">
        <v>45</v>
      </c>
      <c r="B50" s="8">
        <v>52</v>
      </c>
      <c r="C50" t="s">
        <v>73</v>
      </c>
      <c r="D50" t="s">
        <v>74</v>
      </c>
      <c r="E50" t="s">
        <v>134</v>
      </c>
      <c r="F50" t="s">
        <v>427</v>
      </c>
      <c r="G50">
        <v>2027</v>
      </c>
      <c r="H50" t="s">
        <v>188</v>
      </c>
      <c r="I50" t="s">
        <v>95</v>
      </c>
      <c r="J50" t="s">
        <v>77</v>
      </c>
      <c r="K50" t="s">
        <v>136</v>
      </c>
      <c r="L50">
        <v>8</v>
      </c>
      <c r="M50" t="s">
        <v>137</v>
      </c>
      <c r="N50" t="s">
        <v>41</v>
      </c>
      <c r="O50" t="s">
        <v>138</v>
      </c>
      <c r="P50" t="s">
        <v>77</v>
      </c>
      <c r="Q50" t="s">
        <v>77</v>
      </c>
      <c r="R50" t="str">
        <f t="shared" si="2"/>
        <v>TL</v>
      </c>
      <c r="S50" t="str">
        <f t="shared" si="3"/>
        <v>7</v>
      </c>
      <c r="T50" t="s">
        <v>135</v>
      </c>
    </row>
    <row r="51" spans="1:20" x14ac:dyDescent="0.35">
      <c r="A51">
        <v>46</v>
      </c>
      <c r="B51" s="8">
        <v>53</v>
      </c>
      <c r="C51" s="6" t="s">
        <v>73</v>
      </c>
      <c r="D51" s="6" t="s">
        <v>181</v>
      </c>
      <c r="E51" t="s">
        <v>182</v>
      </c>
      <c r="F51" t="s">
        <v>435</v>
      </c>
      <c r="G51" s="6">
        <v>2027</v>
      </c>
      <c r="H51" t="s">
        <v>484</v>
      </c>
      <c r="I51" s="6" t="s">
        <v>163</v>
      </c>
      <c r="J51" s="6" t="s">
        <v>77</v>
      </c>
      <c r="K51" s="6" t="s">
        <v>136</v>
      </c>
      <c r="L51" s="6">
        <v>8</v>
      </c>
      <c r="M51" s="6" t="s">
        <v>137</v>
      </c>
      <c r="N51" s="6" t="s">
        <v>41</v>
      </c>
      <c r="O51" s="6" t="s">
        <v>138</v>
      </c>
      <c r="P51" s="6" t="s">
        <v>77</v>
      </c>
      <c r="Q51" s="6" t="s">
        <v>77</v>
      </c>
      <c r="R51" s="6" t="str">
        <f t="shared" si="2"/>
        <v>TL</v>
      </c>
      <c r="S51" s="6" t="str">
        <f t="shared" si="3"/>
        <v>8</v>
      </c>
      <c r="T51" s="6" t="s">
        <v>477</v>
      </c>
    </row>
    <row r="52" spans="1:20" x14ac:dyDescent="0.35">
      <c r="A52">
        <v>47</v>
      </c>
      <c r="B52" s="8">
        <v>54</v>
      </c>
      <c r="C52" t="s">
        <v>73</v>
      </c>
      <c r="D52" t="s">
        <v>74</v>
      </c>
      <c r="E52" t="s">
        <v>80</v>
      </c>
      <c r="F52" t="s">
        <v>437</v>
      </c>
      <c r="G52">
        <v>2027</v>
      </c>
      <c r="H52" t="s">
        <v>184</v>
      </c>
      <c r="I52" t="s">
        <v>163</v>
      </c>
      <c r="J52" t="s">
        <v>189</v>
      </c>
      <c r="K52" t="s">
        <v>19</v>
      </c>
      <c r="L52">
        <v>9</v>
      </c>
      <c r="M52" t="s">
        <v>190</v>
      </c>
      <c r="N52" t="s">
        <v>81</v>
      </c>
      <c r="O52" t="s">
        <v>191</v>
      </c>
      <c r="P52" t="s">
        <v>23</v>
      </c>
      <c r="Q52" t="s">
        <v>192</v>
      </c>
      <c r="R52" t="str">
        <f t="shared" si="2"/>
        <v>TL</v>
      </c>
      <c r="S52" t="str">
        <f t="shared" si="3"/>
        <v>9</v>
      </c>
      <c r="T52" t="s">
        <v>188</v>
      </c>
    </row>
    <row r="53" spans="1:20" ht="58" x14ac:dyDescent="0.35">
      <c r="A53">
        <v>48</v>
      </c>
      <c r="B53" s="8">
        <v>55</v>
      </c>
      <c r="C53" t="s">
        <v>73</v>
      </c>
      <c r="D53" t="s">
        <v>181</v>
      </c>
      <c r="E53" t="s">
        <v>299</v>
      </c>
      <c r="F53" s="2" t="s">
        <v>455</v>
      </c>
      <c r="G53">
        <v>2027</v>
      </c>
      <c r="H53" t="s">
        <v>485</v>
      </c>
      <c r="I53" t="s">
        <v>180</v>
      </c>
      <c r="J53" t="s">
        <v>301</v>
      </c>
      <c r="K53" t="s">
        <v>29</v>
      </c>
      <c r="L53">
        <v>8</v>
      </c>
      <c r="M53" s="2" t="s">
        <v>302</v>
      </c>
      <c r="N53" t="s">
        <v>303</v>
      </c>
      <c r="O53" t="s">
        <v>304</v>
      </c>
      <c r="P53" t="s">
        <v>218</v>
      </c>
      <c r="Q53" t="s">
        <v>305</v>
      </c>
      <c r="R53" t="str">
        <f t="shared" si="2"/>
        <v>TL</v>
      </c>
      <c r="S53" t="str">
        <f t="shared" si="3"/>
        <v>10</v>
      </c>
      <c r="T53" t="s">
        <v>300</v>
      </c>
    </row>
    <row r="54" spans="1:20" x14ac:dyDescent="0.35">
      <c r="A54">
        <v>57</v>
      </c>
      <c r="B54" s="8">
        <v>56</v>
      </c>
      <c r="C54" t="s">
        <v>502</v>
      </c>
      <c r="D54" t="s">
        <v>44</v>
      </c>
      <c r="E54" t="s">
        <v>388</v>
      </c>
      <c r="F54" t="s">
        <v>468</v>
      </c>
      <c r="G54">
        <v>2027</v>
      </c>
      <c r="H54" t="s">
        <v>371</v>
      </c>
      <c r="I54" t="s">
        <v>180</v>
      </c>
      <c r="J54" t="s">
        <v>85</v>
      </c>
      <c r="K54" t="s">
        <v>19</v>
      </c>
      <c r="L54">
        <v>8</v>
      </c>
      <c r="M54" t="s">
        <v>390</v>
      </c>
      <c r="N54" t="s">
        <v>391</v>
      </c>
      <c r="O54" t="s">
        <v>392</v>
      </c>
      <c r="P54" t="s">
        <v>393</v>
      </c>
      <c r="Q54" t="s">
        <v>85</v>
      </c>
      <c r="R54" t="str">
        <f t="shared" si="2"/>
        <v>WD</v>
      </c>
      <c r="S54" t="str">
        <f t="shared" si="3"/>
        <v>7</v>
      </c>
      <c r="T54" t="s">
        <v>389</v>
      </c>
    </row>
    <row r="55" spans="1:20" x14ac:dyDescent="0.35">
      <c r="A55">
        <v>58</v>
      </c>
      <c r="B55" s="8">
        <v>57</v>
      </c>
      <c r="C55" t="s">
        <v>502</v>
      </c>
      <c r="D55" t="s">
        <v>44</v>
      </c>
      <c r="E55" t="s">
        <v>145</v>
      </c>
      <c r="F55" t="s">
        <v>429</v>
      </c>
      <c r="G55">
        <v>2027</v>
      </c>
      <c r="H55" t="s">
        <v>376</v>
      </c>
      <c r="I55" t="s">
        <v>95</v>
      </c>
      <c r="J55" t="s">
        <v>147</v>
      </c>
      <c r="K55" t="s">
        <v>29</v>
      </c>
      <c r="L55">
        <v>8</v>
      </c>
      <c r="M55" t="s">
        <v>148</v>
      </c>
      <c r="N55" t="s">
        <v>149</v>
      </c>
      <c r="O55" t="s">
        <v>150</v>
      </c>
      <c r="P55" t="s">
        <v>151</v>
      </c>
      <c r="Q55" t="s">
        <v>85</v>
      </c>
      <c r="R55" t="str">
        <f t="shared" si="2"/>
        <v>WD</v>
      </c>
      <c r="S55" t="str">
        <f t="shared" si="3"/>
        <v>8</v>
      </c>
      <c r="T55" t="s">
        <v>146</v>
      </c>
    </row>
    <row r="56" spans="1:20" x14ac:dyDescent="0.35">
      <c r="A56">
        <v>59</v>
      </c>
      <c r="B56" s="8">
        <v>58</v>
      </c>
      <c r="C56" t="s">
        <v>502</v>
      </c>
      <c r="D56" t="s">
        <v>44</v>
      </c>
      <c r="E56" t="s">
        <v>375</v>
      </c>
      <c r="F56" t="s">
        <v>465</v>
      </c>
      <c r="G56">
        <v>2027</v>
      </c>
      <c r="H56" t="s">
        <v>381</v>
      </c>
      <c r="I56" t="s">
        <v>180</v>
      </c>
      <c r="J56" t="s">
        <v>360</v>
      </c>
      <c r="K56" t="s">
        <v>136</v>
      </c>
      <c r="L56">
        <v>7</v>
      </c>
      <c r="M56" t="s">
        <v>377</v>
      </c>
      <c r="N56" t="s">
        <v>378</v>
      </c>
      <c r="O56" t="s">
        <v>379</v>
      </c>
      <c r="P56" t="s">
        <v>360</v>
      </c>
      <c r="Q56" t="s">
        <v>360</v>
      </c>
      <c r="R56" t="str">
        <f t="shared" si="2"/>
        <v>WD</v>
      </c>
      <c r="S56" t="str">
        <f t="shared" si="3"/>
        <v>9</v>
      </c>
      <c r="T56" t="s">
        <v>376</v>
      </c>
    </row>
    <row r="57" spans="1:20" ht="72.5" x14ac:dyDescent="0.35">
      <c r="A57">
        <v>60</v>
      </c>
      <c r="B57" s="8">
        <v>59</v>
      </c>
      <c r="C57" t="s">
        <v>502</v>
      </c>
      <c r="D57" t="s">
        <v>44</v>
      </c>
      <c r="E57" t="s">
        <v>82</v>
      </c>
      <c r="F57" s="2" t="s">
        <v>491</v>
      </c>
      <c r="G57">
        <v>2027</v>
      </c>
      <c r="H57" t="s">
        <v>487</v>
      </c>
      <c r="I57" t="s">
        <v>492</v>
      </c>
      <c r="J57" t="s">
        <v>493</v>
      </c>
      <c r="K57" t="s">
        <v>19</v>
      </c>
      <c r="L57">
        <v>9</v>
      </c>
      <c r="M57" s="2" t="s">
        <v>494</v>
      </c>
      <c r="N57" t="s">
        <v>113</v>
      </c>
      <c r="O57" s="2" t="s">
        <v>495</v>
      </c>
      <c r="P57" t="s">
        <v>84</v>
      </c>
      <c r="Q57" t="s">
        <v>153</v>
      </c>
      <c r="R57" t="str">
        <f t="shared" si="2"/>
        <v>WD</v>
      </c>
      <c r="S57" t="str">
        <f t="shared" si="3"/>
        <v>10</v>
      </c>
      <c r="T57" t="s">
        <v>152</v>
      </c>
    </row>
    <row r="58" spans="1:20" x14ac:dyDescent="0.35">
      <c r="A58">
        <v>61</v>
      </c>
      <c r="B58" s="8">
        <v>60</v>
      </c>
      <c r="C58" t="s">
        <v>502</v>
      </c>
      <c r="D58" t="s">
        <v>154</v>
      </c>
      <c r="E58" t="s">
        <v>394</v>
      </c>
      <c r="F58" t="s">
        <v>469</v>
      </c>
      <c r="G58">
        <v>2027</v>
      </c>
      <c r="H58" t="s">
        <v>152</v>
      </c>
      <c r="I58" t="s">
        <v>180</v>
      </c>
      <c r="J58" t="s">
        <v>361</v>
      </c>
      <c r="K58" t="s">
        <v>136</v>
      </c>
      <c r="L58">
        <v>9</v>
      </c>
      <c r="M58" t="s">
        <v>396</v>
      </c>
      <c r="N58" t="s">
        <v>397</v>
      </c>
      <c r="O58" t="s">
        <v>398</v>
      </c>
      <c r="P58" t="s">
        <v>360</v>
      </c>
      <c r="Q58" t="s">
        <v>361</v>
      </c>
      <c r="R58" t="str">
        <f t="shared" si="2"/>
        <v>WD</v>
      </c>
      <c r="S58" t="str">
        <f t="shared" si="3"/>
        <v>11</v>
      </c>
      <c r="T58" t="s">
        <v>395</v>
      </c>
    </row>
    <row r="59" spans="1:20" ht="43.5" x14ac:dyDescent="0.35">
      <c r="A59">
        <v>49</v>
      </c>
      <c r="B59" s="8">
        <v>61</v>
      </c>
      <c r="C59" t="s">
        <v>73</v>
      </c>
      <c r="D59" t="s">
        <v>74</v>
      </c>
      <c r="E59" t="s">
        <v>183</v>
      </c>
      <c r="F59" s="2" t="s">
        <v>436</v>
      </c>
      <c r="G59" t="s">
        <v>128</v>
      </c>
      <c r="H59" t="s">
        <v>293</v>
      </c>
      <c r="I59" t="s">
        <v>163</v>
      </c>
      <c r="J59" t="s">
        <v>130</v>
      </c>
      <c r="K59" t="s">
        <v>19</v>
      </c>
      <c r="L59">
        <v>9</v>
      </c>
      <c r="M59" t="s">
        <v>185</v>
      </c>
      <c r="N59" t="s">
        <v>113</v>
      </c>
      <c r="O59" t="s">
        <v>186</v>
      </c>
      <c r="P59" t="s">
        <v>33</v>
      </c>
      <c r="Q59" t="s">
        <v>187</v>
      </c>
      <c r="R59" t="str">
        <f t="shared" si="2"/>
        <v>TL</v>
      </c>
      <c r="S59" t="str">
        <f t="shared" si="3"/>
        <v>11</v>
      </c>
      <c r="T59" t="s">
        <v>184</v>
      </c>
    </row>
    <row r="60" spans="1:20" x14ac:dyDescent="0.35">
      <c r="A60">
        <v>50</v>
      </c>
      <c r="B60" s="8">
        <v>62</v>
      </c>
      <c r="C60" t="s">
        <v>73</v>
      </c>
      <c r="D60" t="s">
        <v>74</v>
      </c>
      <c r="E60" t="s">
        <v>127</v>
      </c>
      <c r="F60" t="s">
        <v>426</v>
      </c>
      <c r="G60" t="s">
        <v>128</v>
      </c>
      <c r="H60" t="s">
        <v>300</v>
      </c>
      <c r="I60" t="s">
        <v>95</v>
      </c>
      <c r="J60" t="s">
        <v>130</v>
      </c>
      <c r="K60" t="s">
        <v>19</v>
      </c>
      <c r="L60">
        <v>7</v>
      </c>
      <c r="M60" t="s">
        <v>131</v>
      </c>
      <c r="N60" t="s">
        <v>113</v>
      </c>
      <c r="O60" t="s">
        <v>132</v>
      </c>
      <c r="P60" t="s">
        <v>23</v>
      </c>
      <c r="Q60" t="s">
        <v>133</v>
      </c>
      <c r="R60" t="str">
        <f t="shared" si="2"/>
        <v>TL</v>
      </c>
      <c r="S60" t="str">
        <f t="shared" si="3"/>
        <v>12</v>
      </c>
      <c r="T60" t="s">
        <v>129</v>
      </c>
    </row>
    <row r="61" spans="1:20" ht="72.5" x14ac:dyDescent="0.35">
      <c r="A61">
        <v>62</v>
      </c>
      <c r="B61" s="8">
        <v>63</v>
      </c>
      <c r="C61" t="s">
        <v>502</v>
      </c>
      <c r="D61" t="s">
        <v>44</v>
      </c>
      <c r="E61" t="s">
        <v>212</v>
      </c>
      <c r="F61" s="2" t="s">
        <v>467</v>
      </c>
      <c r="G61" t="s">
        <v>128</v>
      </c>
      <c r="H61" t="s">
        <v>83</v>
      </c>
      <c r="I61" t="s">
        <v>180</v>
      </c>
      <c r="J61" t="s">
        <v>147</v>
      </c>
      <c r="K61" t="s">
        <v>29</v>
      </c>
      <c r="L61">
        <v>7</v>
      </c>
      <c r="M61" t="s">
        <v>387</v>
      </c>
      <c r="N61" t="s">
        <v>149</v>
      </c>
      <c r="O61" t="s">
        <v>242</v>
      </c>
      <c r="P61" t="s">
        <v>151</v>
      </c>
      <c r="Q61" t="s">
        <v>151</v>
      </c>
      <c r="R61" t="str">
        <f t="shared" si="2"/>
        <v>WD</v>
      </c>
      <c r="S61" t="str">
        <f t="shared" si="3"/>
        <v>12</v>
      </c>
      <c r="T61" t="s">
        <v>386</v>
      </c>
    </row>
    <row r="62" spans="1:20" x14ac:dyDescent="0.35">
      <c r="A62">
        <v>63</v>
      </c>
      <c r="B62" s="8">
        <v>64</v>
      </c>
      <c r="C62" t="s">
        <v>502</v>
      </c>
      <c r="D62" t="s">
        <v>44</v>
      </c>
      <c r="E62" t="s">
        <v>370</v>
      </c>
      <c r="F62" t="s">
        <v>464</v>
      </c>
      <c r="G62" t="s">
        <v>128</v>
      </c>
      <c r="H62" t="s">
        <v>201</v>
      </c>
      <c r="I62" t="s">
        <v>180</v>
      </c>
      <c r="J62" t="s">
        <v>356</v>
      </c>
      <c r="K62" t="s">
        <v>19</v>
      </c>
      <c r="L62">
        <v>9</v>
      </c>
      <c r="M62" t="s">
        <v>372</v>
      </c>
      <c r="N62" t="s">
        <v>373</v>
      </c>
      <c r="O62" t="s">
        <v>374</v>
      </c>
      <c r="P62" t="s">
        <v>360</v>
      </c>
      <c r="Q62" t="s">
        <v>361</v>
      </c>
      <c r="R62" t="str">
        <f t="shared" si="2"/>
        <v>WD</v>
      </c>
      <c r="S62" t="str">
        <f t="shared" si="3"/>
        <v>13</v>
      </c>
      <c r="T62" t="s">
        <v>371</v>
      </c>
    </row>
    <row r="63" spans="1:20" x14ac:dyDescent="0.35">
      <c r="A63">
        <v>64</v>
      </c>
      <c r="B63" s="8">
        <v>65</v>
      </c>
      <c r="C63" t="s">
        <v>502</v>
      </c>
      <c r="D63" t="s">
        <v>348</v>
      </c>
      <c r="E63" t="s">
        <v>354</v>
      </c>
      <c r="F63" t="s">
        <v>462</v>
      </c>
      <c r="G63" t="s">
        <v>128</v>
      </c>
      <c r="H63" t="s">
        <v>45</v>
      </c>
      <c r="I63" t="s">
        <v>180</v>
      </c>
      <c r="J63" t="s">
        <v>356</v>
      </c>
      <c r="K63" t="s">
        <v>29</v>
      </c>
      <c r="L63">
        <v>9</v>
      </c>
      <c r="M63" t="s">
        <v>357</v>
      </c>
      <c r="N63" t="s">
        <v>358</v>
      </c>
      <c r="O63" t="s">
        <v>359</v>
      </c>
      <c r="P63" t="s">
        <v>360</v>
      </c>
      <c r="Q63" t="s">
        <v>361</v>
      </c>
      <c r="R63" t="str">
        <f t="shared" si="2"/>
        <v>WD</v>
      </c>
      <c r="S63" t="str">
        <f t="shared" si="3"/>
        <v>14</v>
      </c>
      <c r="T63" t="s">
        <v>355</v>
      </c>
    </row>
    <row r="64" spans="1:20" x14ac:dyDescent="0.35">
      <c r="A64">
        <v>65</v>
      </c>
      <c r="B64" s="8">
        <v>66</v>
      </c>
      <c r="C64" t="s">
        <v>502</v>
      </c>
      <c r="D64" t="s">
        <v>348</v>
      </c>
      <c r="E64" t="s">
        <v>362</v>
      </c>
      <c r="F64" t="s">
        <v>463</v>
      </c>
      <c r="G64" t="s">
        <v>128</v>
      </c>
      <c r="H64" t="s">
        <v>350</v>
      </c>
      <c r="I64" t="s">
        <v>180</v>
      </c>
      <c r="J64" t="s">
        <v>364</v>
      </c>
      <c r="K64" t="s">
        <v>29</v>
      </c>
      <c r="L64">
        <v>8</v>
      </c>
      <c r="M64" t="s">
        <v>365</v>
      </c>
      <c r="N64" t="s">
        <v>366</v>
      </c>
      <c r="O64" t="s">
        <v>367</v>
      </c>
      <c r="P64" t="s">
        <v>368</v>
      </c>
      <c r="Q64" t="s">
        <v>369</v>
      </c>
      <c r="R64" t="str">
        <f t="shared" si="2"/>
        <v>WD</v>
      </c>
      <c r="S64" t="str">
        <f t="shared" si="3"/>
        <v>15</v>
      </c>
      <c r="T64" t="s">
        <v>363</v>
      </c>
    </row>
    <row r="65" spans="1:20" x14ac:dyDescent="0.35">
      <c r="A65">
        <v>66</v>
      </c>
      <c r="B65" s="8">
        <v>67</v>
      </c>
      <c r="C65" t="s">
        <v>502</v>
      </c>
      <c r="D65" t="s">
        <v>154</v>
      </c>
      <c r="E65" t="s">
        <v>399</v>
      </c>
      <c r="F65" t="s">
        <v>470</v>
      </c>
      <c r="G65" t="s">
        <v>128</v>
      </c>
      <c r="H65" t="s">
        <v>355</v>
      </c>
      <c r="I65" t="s">
        <v>180</v>
      </c>
      <c r="J65" t="s">
        <v>401</v>
      </c>
      <c r="K65" t="s">
        <v>19</v>
      </c>
      <c r="L65">
        <v>9</v>
      </c>
      <c r="M65" t="s">
        <v>402</v>
      </c>
      <c r="N65" t="s">
        <v>31</v>
      </c>
      <c r="O65" t="s">
        <v>403</v>
      </c>
      <c r="P65" t="s">
        <v>160</v>
      </c>
      <c r="Q65" t="s">
        <v>404</v>
      </c>
      <c r="R65" t="str">
        <f t="shared" si="2"/>
        <v>WD</v>
      </c>
      <c r="S65" t="str">
        <f t="shared" si="3"/>
        <v>16</v>
      </c>
      <c r="T65" t="s">
        <v>400</v>
      </c>
    </row>
    <row r="66" spans="1:20" x14ac:dyDescent="0.35">
      <c r="A66">
        <v>67</v>
      </c>
      <c r="B66" s="8">
        <v>68</v>
      </c>
      <c r="C66" t="s">
        <v>502</v>
      </c>
      <c r="D66" t="s">
        <v>154</v>
      </c>
      <c r="E66" t="s">
        <v>155</v>
      </c>
      <c r="F66" t="s">
        <v>430</v>
      </c>
      <c r="G66" t="s">
        <v>128</v>
      </c>
      <c r="H66" t="s">
        <v>363</v>
      </c>
      <c r="I66" t="s">
        <v>95</v>
      </c>
      <c r="J66" t="s">
        <v>157</v>
      </c>
      <c r="K66" t="s">
        <v>29</v>
      </c>
      <c r="L66">
        <v>8</v>
      </c>
      <c r="M66" t="s">
        <v>158</v>
      </c>
      <c r="N66" t="s">
        <v>31</v>
      </c>
      <c r="O66" t="s">
        <v>159</v>
      </c>
      <c r="P66" t="s">
        <v>160</v>
      </c>
      <c r="Q66" t="s">
        <v>157</v>
      </c>
      <c r="R66" t="str">
        <f t="shared" si="2"/>
        <v>WD</v>
      </c>
      <c r="S66" t="str">
        <f t="shared" si="3"/>
        <v>17</v>
      </c>
      <c r="T66" t="s">
        <v>156</v>
      </c>
    </row>
    <row r="67" spans="1:20" x14ac:dyDescent="0.35">
      <c r="A67">
        <v>24</v>
      </c>
      <c r="B67" s="8">
        <v>69</v>
      </c>
      <c r="C67" t="s">
        <v>12</v>
      </c>
      <c r="D67" s="6" t="s">
        <v>13</v>
      </c>
      <c r="E67" t="s">
        <v>14</v>
      </c>
      <c r="F67" t="s">
        <v>411</v>
      </c>
      <c r="G67" s="6" t="s">
        <v>15</v>
      </c>
      <c r="H67" t="s">
        <v>239</v>
      </c>
      <c r="I67" s="6" t="s">
        <v>17</v>
      </c>
      <c r="J67" s="6" t="s">
        <v>18</v>
      </c>
      <c r="K67" s="6" t="s">
        <v>19</v>
      </c>
      <c r="L67" s="6">
        <v>8</v>
      </c>
      <c r="M67" s="6" t="s">
        <v>20</v>
      </c>
      <c r="N67" s="6" t="s">
        <v>21</v>
      </c>
      <c r="O67" s="6" t="s">
        <v>22</v>
      </c>
      <c r="P67" s="6" t="s">
        <v>23</v>
      </c>
      <c r="Q67" s="6" t="s">
        <v>24</v>
      </c>
      <c r="R67" s="6" t="str">
        <f t="shared" si="2"/>
        <v>PM</v>
      </c>
      <c r="S67" s="6" t="str">
        <f t="shared" si="3"/>
        <v>17</v>
      </c>
      <c r="T67" s="6" t="s">
        <v>16</v>
      </c>
    </row>
    <row r="68" spans="1:20" x14ac:dyDescent="0.35">
      <c r="A68">
        <v>25</v>
      </c>
      <c r="B68" s="8">
        <v>70</v>
      </c>
      <c r="C68" t="s">
        <v>12</v>
      </c>
      <c r="D68" t="s">
        <v>25</v>
      </c>
      <c r="E68" t="s">
        <v>106</v>
      </c>
      <c r="F68" t="s">
        <v>422</v>
      </c>
      <c r="G68" t="s">
        <v>15</v>
      </c>
      <c r="H68" t="s">
        <v>87</v>
      </c>
      <c r="I68" t="s">
        <v>95</v>
      </c>
      <c r="J68" t="s">
        <v>18</v>
      </c>
      <c r="K68" t="s">
        <v>19</v>
      </c>
      <c r="L68">
        <v>8</v>
      </c>
      <c r="M68" t="s">
        <v>20</v>
      </c>
      <c r="N68" t="s">
        <v>21</v>
      </c>
      <c r="O68" t="s">
        <v>22</v>
      </c>
      <c r="P68" t="s">
        <v>23</v>
      </c>
      <c r="Q68" t="s">
        <v>24</v>
      </c>
      <c r="R68" t="str">
        <f t="shared" si="2"/>
        <v>PM</v>
      </c>
      <c r="S68" t="str">
        <f t="shared" si="3"/>
        <v>18</v>
      </c>
      <c r="T68" t="s">
        <v>107</v>
      </c>
    </row>
  </sheetData>
  <autoFilter ref="J1:J66" xr:uid="{00000000-0001-0000-0000-000000000000}"/>
  <sortState xmlns:xlrd2="http://schemas.microsoft.com/office/spreadsheetml/2017/richdata2" ref="A2:T68">
    <sortCondition ref="B2:B68"/>
  </sortState>
  <phoneticPr fontId="3" type="noConversion"/>
  <conditionalFormatting sqref="E1:E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5376d577ce70c4e2488a8c30613b595c">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c7fa45745f42974ae0b96ee293ceb4ed"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FE4A72-27E5-4496-848E-BC6B5EFC5633}">
  <ds:schemaRefs>
    <ds:schemaRef ds:uri="http://schemas.microsoft.com/sharepoint/v3/contenttype/forms"/>
  </ds:schemaRefs>
</ds:datastoreItem>
</file>

<file path=customXml/itemProps2.xml><?xml version="1.0" encoding="utf-8"?>
<ds:datastoreItem xmlns:ds="http://schemas.openxmlformats.org/officeDocument/2006/customXml" ds:itemID="{448A8C9C-3A2C-4999-B9F6-17042F0B179B}">
  <ds:schemaRefs>
    <ds:schemaRef ds:uri="http://schemas.microsoft.com/office/2006/documentManagement/types"/>
    <ds:schemaRef ds:uri="http://schemas.microsoft.com/office/2006/metadata/properties"/>
    <ds:schemaRef ds:uri="97b66f12-2b99-4af9-8dd0-4615ba9e34cf"/>
    <ds:schemaRef ds:uri="http://schemas.openxmlformats.org/package/2006/metadata/core-properties"/>
    <ds:schemaRef ds:uri="http://www.w3.org/XML/1998/namespace"/>
    <ds:schemaRef ds:uri="682daa6a-fc4e-47a4-bc9a-068fc2d76523"/>
    <ds:schemaRef ds:uri="http://purl.org/dc/terms/"/>
    <ds:schemaRef ds:uri="http://purl.org/dc/elements/1.1/"/>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455B7A34-2EA9-4C1D-A0AB-D965C4504F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Scout Chisholm McKee</cp:lastModifiedBy>
  <cp:revision/>
  <dcterms:created xsi:type="dcterms:W3CDTF">2026-02-04T12:29:27Z</dcterms:created>
  <dcterms:modified xsi:type="dcterms:W3CDTF">2026-02-10T13:50:45Z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