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unbcloud-my.sharepoint.com/personal/t9v3a_unb_ca/Documents/Desktop/atlantic_housing_strategy/"/>
    </mc:Choice>
  </mc:AlternateContent>
  <xr:revisionPtr revIDLastSave="207" documentId="11_E59CBDFF7E7A3738BA2407F4BA421CD949C727D9" xr6:coauthVersionLast="47" xr6:coauthVersionMax="47" xr10:uidLastSave="{DB147226-DAC6-4F36-A96D-390A44F53ED5}"/>
  <bookViews>
    <workbookView xWindow="-110" yWindow="-110" windowWidth="19420" windowHeight="10300" xr2:uid="{00000000-000D-0000-FFFF-FFFF00000000}"/>
  </bookViews>
  <sheets>
    <sheet name="Sheet1" sheetId="1" r:id="rId1"/>
    <sheet name="Sheet2" sheetId="2" r:id="rId2"/>
  </sheets>
  <definedNames>
    <definedName name="_xlnm._FilterDatabase" localSheetId="0" hidden="1">Sheet1!$H$1:$H$87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1" l="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2" i="1"/>
  <c r="T2"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3"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2"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3" i="1"/>
  <c r="R4" i="1"/>
  <c r="R5" i="1"/>
  <c r="R6" i="1"/>
  <c r="R2" i="1"/>
</calcChain>
</file>

<file path=xl/sharedStrings.xml><?xml version="1.0" encoding="utf-8"?>
<sst xmlns="http://schemas.openxmlformats.org/spreadsheetml/2006/main" count="1248" uniqueCount="731">
  <si>
    <t>ID</t>
  </si>
  <si>
    <t>Category</t>
  </si>
  <si>
    <t>Sub-Category</t>
  </si>
  <si>
    <t>Location Identified</t>
  </si>
  <si>
    <t>Owner(s)</t>
  </si>
  <si>
    <t>Contributor(s)</t>
  </si>
  <si>
    <t>Filtering-Contributors-Categories</t>
  </si>
  <si>
    <t>Expected Timeline</t>
  </si>
  <si>
    <t>Ease of Implementation</t>
  </si>
  <si>
    <t>Impact (out of 10)</t>
  </si>
  <si>
    <t>Metrics</t>
  </si>
  <si>
    <t>Scope of Implementation</t>
  </si>
  <si>
    <t>Preqrequisite initiative (s)</t>
  </si>
  <si>
    <t>Sorting helper col 1</t>
  </si>
  <si>
    <t>Sorting Helper col 2</t>
  </si>
  <si>
    <t>Updated Barrier Description</t>
  </si>
  <si>
    <t>NB Status</t>
  </si>
  <si>
    <t>NS Status</t>
  </si>
  <si>
    <t>PEI Status</t>
  </si>
  <si>
    <t>NL Status</t>
  </si>
  <si>
    <t>FI1</t>
  </si>
  <si>
    <t>Financing and Insurance</t>
  </si>
  <si>
    <t>Access to Financing</t>
  </si>
  <si>
    <t>Atlantic Region</t>
  </si>
  <si>
    <t>Provincial Departments of Finance
Atlantic Credit Union Associations</t>
  </si>
  <si>
    <t>Major banks (RBC, TD, Scotiabank, CIBC, BMO), regional credit unions, developers &amp; modular manufacturers, CMHC (reference alignment)</t>
  </si>
  <si>
    <t>Provincial Government, Finance &amp; Insurance/Business Services, Federal Government</t>
  </si>
  <si>
    <t>Easy</t>
  </si>
  <si>
    <t>Number of lenders adopting the brief
Reduction in financing rejections for modular
Increase in modular mortgage approvals</t>
  </si>
  <si>
    <t xml:space="preserve">Regional </t>
  </si>
  <si>
    <t>Gather modular timeline + risk data from manufacturers</t>
  </si>
  <si>
    <t>FI</t>
  </si>
  <si>
    <t>Banks and lenders do not fully understand or accept modular/off-site construction because of high perceived risks in OSC.</t>
  </si>
  <si>
    <t>Create an OSC lending brief to improve lender understanding and financing options.</t>
  </si>
  <si>
    <t>FI2</t>
  </si>
  <si>
    <t>First-time buyers, credit unions (large role), mortgage brokers, modular manufacturers, community development agencies</t>
  </si>
  <si>
    <t>Provincial Government, Finance &amp; Insurance/Business Services, Manufacturers</t>
  </si>
  <si>
    <t>Increase in number approved modular mortgages under 2 units</t>
  </si>
  <si>
    <t xml:space="preserve"> Gather current data on mortgage options. </t>
  </si>
  <si>
    <t>Limited financing options for small-scale ownership (e.g., single units, duplexes) force many buyers to rely on high-interest lenders.</t>
  </si>
  <si>
    <t>Create and use the lending brief to expand mortgage options.</t>
  </si>
  <si>
    <t>FI3</t>
  </si>
  <si>
    <t>Provincial Departments of Finance</t>
  </si>
  <si>
    <t>Reduction in modular project financing delays</t>
  </si>
  <si>
    <t>Build a sample modular draw schedule
Document cash-flow needs for modular builds</t>
  </si>
  <si>
    <t>Financing rules, mortgage products, and banking policies are outdated for OSC.</t>
  </si>
  <si>
    <t>Modernize lender policies by educating and clarifying OSC payment and draw schedules.</t>
  </si>
  <si>
    <t>FI4</t>
  </si>
  <si>
    <t>NS</t>
  </si>
  <si>
    <t>Nova Scotia Department of Finance</t>
  </si>
  <si>
    <t>NS credit unions, local lenders &amp; community investment funds, developers, modular manufacturers</t>
  </si>
  <si>
    <t>Reduced reliance on one or two banks
Increase in competitive interest rates for modular</t>
  </si>
  <si>
    <t>Provincial</t>
  </si>
  <si>
    <t>Prepare NS-specific version of the brief</t>
  </si>
  <si>
    <t>Lack of competition among funding providers. </t>
  </si>
  <si>
    <t>Create and share a lending brief with private investors (banks, large REIT) and institutional investors in the region and outside Atlantic Canada.</t>
  </si>
  <si>
    <t>FI5</t>
  </si>
  <si>
    <t>Cost Structure</t>
  </si>
  <si>
    <t>Provincial Departments of Finance
Credit Union Associations</t>
  </si>
  <si>
    <t>Manufacturers, developers, lenders, CMHC, Construction managers</t>
  </si>
  <si>
    <t>Provincial Government, Finance &amp; Insurance/Business Services, Federal Government, Developers &amp; General Contractors</t>
  </si>
  <si>
    <t>Number of lenders adopting modular-friendly draw schedules
Reduced delays caused by payment timing</t>
  </si>
  <si>
    <t>Document typical modular cost curves
Build standard modular draw templates</t>
  </si>
  <si>
    <t>High upfront costs and misaligned payment milestones strain cash flow.</t>
  </si>
  <si>
    <t>Add OSC-friendly payment frameworks and liquidity supports.</t>
  </si>
  <si>
    <t>FI6</t>
  </si>
  <si>
    <t>Modular manufacturers (input providers), Developers / builders, quantity surveyors, housing agencies (NB Housing, NSPHA, PEIHC, NLHC), lenders (for underwriting consistency)</t>
  </si>
  <si>
    <t>Manufacturers, Developers &amp; General Contractors, Provincial Government, Finance &amp; Insurance/Business Services</t>
  </si>
  <si>
    <t>2026 -2028</t>
  </si>
  <si>
    <t>Medium</t>
  </si>
  <si>
    <t>Number of manufacturers using the directory
Reduction in estimate variability between suppliers
Fewer lender RFIs about project costing</t>
  </si>
  <si>
    <t>Collect baseline cost data from Atlantic manufacturers (module production, transport, installation).
Create standardized cost bands (Low/Medium/High) for modules, logistics, and site work.</t>
  </si>
  <si>
    <t>Challenges producing accurate pricing estimates due to immature market.</t>
  </si>
  <si>
    <t>Educate the supply chain and develop an OSC cost library with standardized cost ranges (e.g., RS Means).</t>
  </si>
  <si>
    <t>FI7</t>
  </si>
  <si>
    <t>PEI</t>
  </si>
  <si>
    <t xml:space="preserve">PEI Housing Corporation
PEI Department of Transportation &amp; Infrastructure
PEI Procurement </t>
  </si>
  <si>
    <t>PEI modular developers, general contractors, non-profits and community housing providers, transport companies &amp; crane operators, ferry operators (Marine Atlantic if applicable for interprovincial shipments), modular manufacturers supplying to PEI</t>
  </si>
  <si>
    <t>Manufacturers, Developers &amp; General Contractors, Provincial Government, Finance &amp; Insurance/Business Services, Transportation &amp; Logistics Providers</t>
  </si>
  <si>
    <t>Reduction in module transport cost
Number of projects participating in shared logistics
Increased adoption of modular for multi-unit builds</t>
  </si>
  <si>
    <t>Establish a framework for comparing OSC approaches for PEI conditions</t>
  </si>
  <si>
    <t>Multi-unit residential building (MURB) volumetric modular construction significantly more expensive.</t>
  </si>
  <si>
    <t>Use existing MURB VMC projects as a case study to identify cost reductions or work with all forms of OSC to determine the best approach to buildings MURBs on PEI.</t>
  </si>
  <si>
    <t>FI8</t>
  </si>
  <si>
    <t>NS,NB</t>
  </si>
  <si>
    <t>Provincial Housing Agencies (NSPHA, NB Housing)
Provincial Procurement Divisions</t>
  </si>
  <si>
    <t>Small modular manufacturers, developers, general contractors, insurers, lenders</t>
  </si>
  <si>
    <t>Manufacturers, Provincial Government, Finance &amp; Insurance/Business Services</t>
  </si>
  <si>
    <t>Number of modular tenders allowing pre-qualified suppliers without full bonding
Increase in bid participation
Reduced project cancellations due to lack of bonded bidders</t>
  </si>
  <si>
    <t>Define modular-specific qualification criteria
Review manufacturer QA, capacity, and safety documentation</t>
  </si>
  <si>
    <t>Bonding challenges for small manufacturers</t>
  </si>
  <si>
    <t>Introduce a OSC supplier pre-qualification pathway based on the factory’s CSA certification.</t>
  </si>
  <si>
    <t>FI9</t>
  </si>
  <si>
    <t>CMHC  Misalignment</t>
  </si>
  <si>
    <t>CMHC Regional Office
Atlantic Provincial Housing Agencies</t>
  </si>
  <si>
    <t>Modular manufacturers, developers, lenders, municipal planners, project managers</t>
  </si>
  <si>
    <t>Federal Government, Developers &amp; General Contractors, Finance &amp; Insurance/Business Services, Technical Professionals, Provincial Government</t>
  </si>
  <si>
    <t>Reduced CMHC approval time for modular files
Increase in successful modular applications</t>
  </si>
  <si>
    <t>Collect standard modular factory timelines from local manufacturers
Compare with CMHC approval timelines
Identify specific misalignment points
Draft modular timeline recommendations</t>
  </si>
  <si>
    <t>CMHC policies do not align with OSC timelines, delivery methods, or cost structure.</t>
  </si>
  <si>
    <t>Establish a CMHC–regional coordination group.</t>
  </si>
  <si>
    <t>FI10</t>
  </si>
  <si>
    <t xml:space="preserve">CMHC
Atlantic Provincial Housing Agencies
Municipal planning </t>
  </si>
  <si>
    <t>Developers, modular manufacturers, project teams</t>
  </si>
  <si>
    <t>Developers &amp; General Contractors, Manufacturers, Provincial Government, Federal Government, Municipal Government</t>
  </si>
  <si>
    <t>Fewer CMHC refusals due to non-residential shares</t>
  </si>
  <si>
    <t>Gather PEI/NS/NB/NL examples of mixed-use zoning conditions
Identify CMHC concerns about non-residential %
Provide modular project examples to CMHC for comparison</t>
  </si>
  <si>
    <t>Restrictions on funding non-residential space in new buildings.</t>
  </si>
  <si>
    <t>Develop consistent criteria for reviewing mixed-use OSC buildings.</t>
  </si>
  <si>
    <t>FI11</t>
  </si>
  <si>
    <t>Developers, modular manufacturers, municipalities, lenders</t>
  </si>
  <si>
    <t>Provincial Government, Federal Government, Developers &amp; General Contractors, Finance &amp; Insurance/Business Services</t>
  </si>
  <si>
    <t>Reduction in incomplete CMHC submissions
Higher approval rates for modular files</t>
  </si>
  <si>
    <t>Consolidate CMHC documentation requirements
Summarize modular-specific questions asked by CMHC</t>
  </si>
  <si>
    <t>Lack of clarity on how to access CMHC programs and funding streams.</t>
  </si>
  <si>
    <t>Work with CMHC to create a simplified guide targeted to the needs of Atlantic Canada.</t>
  </si>
  <si>
    <t>FI12</t>
  </si>
  <si>
    <t xml:space="preserve">Provincial Housing Departments
CMHC </t>
  </si>
  <si>
    <t>Municipalities, regional planning commissions, developers</t>
  </si>
  <si>
    <t>Federal Government, Developers &amp; General Contractors, Technical Professionals</t>
  </si>
  <si>
    <t>More rural modular projects approved</t>
  </si>
  <si>
    <t>Gather updated rural housing data
Compare with CMHC’s national dataset
Provide corrected figures</t>
  </si>
  <si>
    <t xml:space="preserve">CMHC data for rural areas is outdated/incorrect. </t>
  </si>
  <si>
    <t>Identify and share updated rural housing data with CMHC.</t>
  </si>
  <si>
    <t>FI13</t>
  </si>
  <si>
    <t>Insurance</t>
  </si>
  <si>
    <t>Insurance brokers specializing in construction
Warranty providers
Developers
Modular manufacturers</t>
  </si>
  <si>
    <t>Manufacturers, transporters, crane companies, general contractors, warranty providers, lenders, CMHC</t>
  </si>
  <si>
    <t>Manufacturers, Transportation &amp; Logistics Providers, Finance &amp; Insurance/Business Services, Federal Government, Developers &amp; General Contractors</t>
  </si>
  <si>
    <t>Number of modular projects using wrap-up all-risk coverage
Reduction in duplicated premiums
Fewer liability disputes
Warranty acceptance rate for modular modules
Lower overall insurance cost per unit</t>
  </si>
  <si>
    <t>Manufacturers + developers jointly approach insurance brokers
Brokers prepare integrated wrap-up policy options
Legal teams insert handover protocol clauses into modular contracts</t>
  </si>
  <si>
    <t>There are coverage gaps, overlapping insurance requirements, and unclear responsibility transfers between the factory, transporter, and on-site contractor.</t>
  </si>
  <si>
    <t>Work with the insurance sector to develop a unified OSC insurance model with clear liability transfer.</t>
  </si>
  <si>
    <t>FI14</t>
  </si>
  <si>
    <t xml:space="preserve">Insurance brokers
Major insurers operating in Atlantic Canada
Modular manufacturers </t>
  </si>
  <si>
    <t>Manufacturers, developers, lenders, warranty providers, provincial housing agencies.</t>
  </si>
  <si>
    <t>Manufacturers, Developers &amp; General Contractors, Finance &amp; Insurance/Business Services, Provincial Government</t>
  </si>
  <si>
    <t>Reduction in builder’s-risk premiums for mass-timber modular
Number of factories certified with risk-reduction controls
Number of projects qualifying for the credit</t>
  </si>
  <si>
    <t xml:space="preserve">Identify typical OSC roles and responsibilities from the start to completion of projects. </t>
  </si>
  <si>
    <t>Higher insurance premiums for mass timber or wood-based modular systems.</t>
  </si>
  <si>
    <t>FI15</t>
  </si>
  <si>
    <t xml:space="preserve">Insurance Bureau of Canada
Commercial insurers
Insurance brokers </t>
  </si>
  <si>
    <t>Reduction in premiums for modular factories
Number of  factories moved to the new risk category</t>
  </si>
  <si>
    <t>Insurance regulations not tailored to offsite fabrication risks.</t>
  </si>
  <si>
    <t>FI16</t>
  </si>
  <si>
    <t>Incentives &amp; Policy</t>
  </si>
  <si>
    <t>Nova Scotia Provincial Housing Agency
New Brunswick Housing Corporation
PEI Housing Corporation
NL Housing Corporation
Provincial Departments of Finance</t>
  </si>
  <si>
    <t>Modular manufacturers, developers, non-profits, lenders, municipal housing partners, CMHC</t>
  </si>
  <si>
    <t>Manufacturers, Provincial Government, Federal Government, Indigenous &amp; Community Organizations, Developers &amp; General Contractors</t>
  </si>
  <si>
    <t>Number of modular units delivered under the credit
Reduction in per-unit cost for provincial housing builds
Increase in manufacturer production volume</t>
  </si>
  <si>
    <t>Provincial, regional</t>
  </si>
  <si>
    <t>Determine per-unit credit value (e.g., $2,000–$5,000/unit)
Set eligibility (affordable housing, supportive housing, repeatable modular designs)
Secure small annual budget allocation
Develop simple claim process at delivery or installation</t>
  </si>
  <si>
    <t>No tax incentives, subsidies, or financial supports tailored to OSC.</t>
  </si>
  <si>
    <t>Develop and use a pre-manufactured index to encourage the use of OSC or other forms of MMC and increase productivity.</t>
  </si>
  <si>
    <t>FI17</t>
  </si>
  <si>
    <t>Municipal Planning &amp; Permitting Departments
Provincial Housing Agencies (NSPHA
NB Housing
PEI Housing
NL Housing)
Provincial Departments of Municipal Affairs</t>
  </si>
  <si>
    <t>Developers, manufacturers, municipal building officials, lenders.</t>
  </si>
  <si>
    <t>Municipal Government, Developers &amp; General Contractors, Finance &amp; Insurance/Business Services</t>
  </si>
  <si>
    <t>Number of modular projects qualifying for adjusted fees
Reduction in average fees paid per modular project
Decrease in municipal review time per project
Increase in modular applications submitted</t>
  </si>
  <si>
    <t>Define what qualifies as “repeatable modular design”
Establish pre-verified plan sets or modular typologies
Update municipal fee schedules to include modular track</t>
  </si>
  <si>
    <t>Government fees add affordability challenges.</t>
  </si>
  <si>
    <t>Offer reduced fees for pre-verified OSC designs.</t>
  </si>
  <si>
    <t>PM1</t>
  </si>
  <si>
    <t>Procurement Models and Contracts</t>
  </si>
  <si>
    <t>Competition and Market Dynamics</t>
  </si>
  <si>
    <t>NSPHA
NB Housing
PEI Housing
NL Housing
Provincial Procurement Divisions</t>
  </si>
  <si>
    <t>Local modular manufacturers, out-of-region CSA-certified firms, developers, general contractors, lenders.</t>
  </si>
  <si>
    <t>Manufacturers, Developers &amp; General Contractors, Finance &amp; Insurance/Business Services</t>
  </si>
  <si>
    <t>Increase in number of pre-qualified modular suppliers
Reduction in average bid prices
Number of projects receiving more than 1–2 bids</t>
  </si>
  <si>
    <t>Create modular-specific pre-qualification criteria
Issue pre-qualification call</t>
  </si>
  <si>
    <t>PM</t>
  </si>
  <si>
    <t>Only few CSA-certified modular manufacturers, limiting competition, raising costs, and preventing suppliers from scaling confidently.</t>
  </si>
  <si>
    <t>Create a funding stream (through Opportunities NB, Invest NS, Innovation PEI and NL’s department of IET) for manufacturers to access and become CSA certified.   </t>
  </si>
  <si>
    <t>PM2</t>
  </si>
  <si>
    <t>Developers, modular manufacturers, general contractors, cost consultants, municipal housing partners</t>
  </si>
  <si>
    <t>Developers &amp; General Contractors, Manufacturers, Provincial Government, Municipal Government</t>
  </si>
  <si>
    <t>Number of RFPs using separated cost line items
Increase in modular bids submitted
Reduction in modular bid disqualification due to upfront costs</t>
  </si>
  <si>
    <t>Update procurement templates to require separated cost line items
Provide short internal guidance to evaluators</t>
  </si>
  <si>
    <t>Low-bid procurement models do not quantify the benefits of some forms of OSC (cost certainty, shortened schedule, reduction in environmental impact, safer for the skilled workforce) which makes OSC solutions less competitive than stick-built construction.</t>
  </si>
  <si>
    <t>Use RFIs and RFQs to pre-qualify proponents, scoring them on KPIs beyond lowest bid. Include environment, social and culture KPIs in the proponent assessment process of an RFP.</t>
  </si>
  <si>
    <t>PM3</t>
  </si>
  <si>
    <t>Provincial Housing Agencies (NSPHA, NB Housing, PEI Housing, NLHC)
Provincial Procurement Divisions
Departments of Municipal Affairs &amp; Housing</t>
  </si>
  <si>
    <t>Modular manufacturers, developers, lenders, general contractors, municipalities.</t>
  </si>
  <si>
    <t>Provincial Government, Manufacturers, Developers &amp; General Contractors, Municipal Government</t>
  </si>
  <si>
    <t>Number of modular projects included in forecast
Manufacturer participation in bids
Increase in factory expansion/production planning</t>
  </si>
  <si>
    <t>Identify which upcoming public housing projects are modular-compatible
Collect capital plans from municipalities + provinces</t>
  </si>
  <si>
    <t>Unclear demand and supply conditions create a “chicken-or-egg” problem, limiting competition and complicating procurement planning.</t>
  </si>
  <si>
    <t>Publish a rolling 3-4-year forecast of OSC-suitable (VMC or category 1 and panelized or category 2) public housing projects.</t>
  </si>
  <si>
    <t>PM4</t>
  </si>
  <si>
    <t xml:space="preserve">NS </t>
  </si>
  <si>
    <t>Nova Scotia Provincial Housing Agency
Nova Scotia Procurement (Service Nova Scotia)</t>
  </si>
  <si>
    <t>Modular manufacturers, planners, developers, municipalities, provincial land agencies</t>
  </si>
  <si>
    <t>Increase in number of modular bidders
Reduction in redesign hours or change orders</t>
  </si>
  <si>
    <t>Identify modular-suitable projects early
Issue RFPs using design–build method</t>
  </si>
  <si>
    <t>Projects may need to be approved as design-build to create more competition.</t>
  </si>
  <si>
    <t>Use design–build procurement on projects that warrant a DB approach (e.g., &gt;8 units).</t>
  </si>
  <si>
    <t>PM5</t>
  </si>
  <si>
    <t xml:space="preserve">Nova Scotia Provincial Housing Agency
Municipalities
Department of Public Works / Municipal Affairs </t>
  </si>
  <si>
    <t>Modular manufacturers, design–build contractors, architects, engineers, developers, municipalities.</t>
  </si>
  <si>
    <t>Provincial Government, Manufacturers, Technical Professionals, Municipal Government</t>
  </si>
  <si>
    <t>Number of parcels identified and pre-cleared
Number of parcels included in modular tenders
Increase in modular-suitable land availability</t>
  </si>
  <si>
    <t>Inventory small provincial &amp; municipal parcels
Basic servicing and access assessments
Municipal confirmation of allowable uses</t>
  </si>
  <si>
    <t>Limited land availability reduces how many modular projects can be procured.</t>
  </si>
  <si>
    <t>Work with federal and provincial government to identify serviced or partially serviced small sites and combine to tender larger projects for one DB team.</t>
  </si>
  <si>
    <t>PM6</t>
  </si>
  <si>
    <t xml:space="preserve">Modular manufacturers, developers / builders, quantity surveyors, housing agencies (NB Housing, NSPHA, PEIHC, NLHC), lenders </t>
  </si>
  <si>
    <t>Manufacturers, Developers &amp; General Contractors, Provincial Government</t>
  </si>
  <si>
    <t>Lack defined roles and responsibilities leading to inaccurate pricing from sub-contractors.</t>
  </si>
  <si>
    <t>Develop a modular cost library with standardized cost ranges and typical modular inputs.</t>
  </si>
  <si>
    <t>PM7</t>
  </si>
  <si>
    <t>Design and Standards</t>
  </si>
  <si>
    <t>Provincial Housing Agencies
Municipal Housing Units
Architectural teams
Provincial Procurement Divisions</t>
  </si>
  <si>
    <t>Architects, engineers, modular manufacturers, developers, general contractors.</t>
  </si>
  <si>
    <t>Technical Professionals, Manufacturers, Developers &amp; General Contractors, Provincial Government</t>
  </si>
  <si>
    <t>Fewer redesign hours
Reduction in change orders
Number of projects identifying modular feasibility early</t>
  </si>
  <si>
    <t>Early design teams receive modular design parameters (grid, module sizes, MEP zones)
Consultation with manufacturers during concept design
Include modular feasibility as a required step in RFP scopes</t>
  </si>
  <si>
    <t>Designs are developed for traditional construction and only adapted to OSC methods later which causes redesign and inefficiencies.</t>
  </si>
  <si>
    <t>Include an OSC integrator in the project team which supports the OSC feasibility assessment completed during the design phase.</t>
  </si>
  <si>
    <t>PM8</t>
  </si>
  <si>
    <t>Number of RFPs using performance-based criteria
Reduction in redesign hours
Fewer modular bids rejected due to prescriptive design conflicts
Increase in modular participation in tenders</t>
  </si>
  <si>
    <t>Update design scopes to remove prescriptive structural and layout requirements
Provide architects a set of modular design parameters (module sizes, grid, spans)
Include modular considerations during concept/schematic design stages</t>
  </si>
  <si>
    <t>Lack of OSC-friendly designs and prescriptive requirements cause redesign, inefficiencies, and excludes OSC methods.</t>
  </si>
  <si>
    <t>Enable performance-based criteria.</t>
  </si>
  <si>
    <t>PM9</t>
  </si>
  <si>
    <t>NS, NL</t>
  </si>
  <si>
    <t>Provincial Housing Agencies
Municipal Building/Permitting Departments
Provincial Procurement Divisions</t>
  </si>
  <si>
    <t>Structural engineers, modular manufacturers, permitting officials, developers, insurers.</t>
  </si>
  <si>
    <t>Provincial Government, Technical Professionals, Manufacturers, Finance &amp; Insurance/Business Services</t>
  </si>
  <si>
    <t>Reduction in redesign requests post-award
Number of proposals with compliant stamped engineering</t>
  </si>
  <si>
    <t>Add requirement for stamped structural verification in all modular RFPs
Provide bidders with local wind/snow/climate indices
Require early coordination with Atlantic-licensed engineers</t>
  </si>
  <si>
    <t xml:space="preserve">Modular builds from other regions may not be designed to meet local performance standards (e.g., hurricane-force winds). </t>
  </si>
  <si>
    <t>Ensure CSA A277 certification and emphasize the importance of the builds needing to meet building code of final building location. </t>
  </si>
  <si>
    <t>PM10</t>
  </si>
  <si>
    <t>Procurement Processes</t>
  </si>
  <si>
    <t>Provincial Procurement Divisions
Provincial Housing Agencies
Municipal Procurement Offices</t>
  </si>
  <si>
    <t>Modular manufacturers, contractors, designers, cost consultants, municipal and provincial evaluators.</t>
  </si>
  <si>
    <t>Provincial Government, Manufacturers, Municipal Government, Developers &amp; General Contractors</t>
  </si>
  <si>
    <t>Number of tenders allowing modular alternatives
Number of modular alternative submissions</t>
  </si>
  <si>
    <t>Add optional modular submission line to tender documents
Provide evaluators guidance on comparing modular vs traditional approaches</t>
  </si>
  <si>
    <t>Procurement is oriented toward traditional construction reducing acceptance for OSC approaches.</t>
  </si>
  <si>
    <t>Encourage tenders to use OSC alternatives.</t>
  </si>
  <si>
    <t>PM11</t>
  </si>
  <si>
    <t>Evaluators, modular manufacturers, contractors, architects, engineers, cost consultants.</t>
  </si>
  <si>
    <t>Provincial Government, Manufacturers, Developers &amp; General Contractors</t>
  </si>
  <si>
    <t>% of tenders with value-based scoring
Increase in modular bids that reach evaluation stage
Reduction in disqualification of modular proposals due to cost-only scoring</t>
  </si>
  <si>
    <t>Identify value-based criteria relevant to modular (schedule, QA, site disruption)
Update tender evaluation templates
Train procurement staff on new evaluation weighting</t>
  </si>
  <si>
    <t>Lack of value-based procurement approaches.</t>
  </si>
  <si>
    <t>PM12</t>
  </si>
  <si>
    <t>NB</t>
  </si>
  <si>
    <t>NB Housing</t>
  </si>
  <si>
    <t>Modular manufacturers (especially small/new ones), general contractors, procurement evaluators.</t>
  </si>
  <si>
    <t>Reduction in incomplete modular submissions
Increase in number of modular bidders
Fewer administrative RFIs</t>
  </si>
  <si>
    <t>Identify common missing/incorrect items in past submissions</t>
  </si>
  <si>
    <t xml:space="preserve">New entrants to construction are not used to RFP processes. </t>
  </si>
  <si>
    <t>Create consistent RFP processes across the four provinces and provide an FAQ and training session annually. </t>
  </si>
  <si>
    <t>PM13</t>
  </si>
  <si>
    <t>Modular manufacturers, developers / builders, quantity surveyors, housing agencies (NB Housing, NSPHA, PEIHC, NLHC), lenders</t>
  </si>
  <si>
    <t xml:space="preserve">Create a standardized checklist of details to include in RFPs. </t>
  </si>
  <si>
    <t>Lack of site access or information for bidders to accurately estimate on-site works.</t>
  </si>
  <si>
    <t>Include as much detail in the RFPs as possible (e.g., geotechnical report, potential laydown areas, potential overhead constraints, etc.) as well as images of the site to ensure proponents provide an accurate estimate.</t>
  </si>
  <si>
    <t>PM14</t>
  </si>
  <si>
    <t>NB, PEI</t>
  </si>
  <si>
    <t>NB Strategic Procurement
PEI Procurement
Provincial Housing Agencies
Municipal Project Managers</t>
  </si>
  <si>
    <t>Modular manufacturers, site contractors, crane companies, tansport companies, developers, project managers.</t>
  </si>
  <si>
    <t>Provincial Government, Manufacturers, Transportation &amp; Logistics Providers, Developers &amp; General Contractors, Municipal Government</t>
  </si>
  <si>
    <t>Number of tenders including schedule enforcement
Reduction in installation or delivery delays</t>
  </si>
  <si>
    <t>Identify modular-specific scheduling needs
Update contract templates to include enforceable schedule milestones</t>
  </si>
  <si>
    <t>Lack of schedule regulations and enforcements.</t>
  </si>
  <si>
    <t>Include clear schedule requirements in contracts and link payments to project signing, factory-based project progress, delivery and installation milestones.</t>
  </si>
  <si>
    <t>PM15</t>
  </si>
  <si>
    <t>NB Strategic Procurement
NB Housing</t>
  </si>
  <si>
    <t>Modular manufacturers, architects, engineers, general contractors, developers.</t>
  </si>
  <si>
    <t>Provincial Government, Manufacturers, Technical Professionals, Developers &amp; General Contractors</t>
  </si>
  <si>
    <t>Number of RFPs using performance-based requirements
Increase in modular submissions
Reduction in redesign/change-order costs</t>
  </si>
  <si>
    <t>Identify which requirements can be performance-based instead of prescriptive
Train evaluators on comparing modular proposals
Update RFP templates to include flexible requirements</t>
  </si>
  <si>
    <t>Lack of flexible RFP formats - they are too structured and project specific.</t>
  </si>
  <si>
    <t>Use flexible, performance-based RFPs.</t>
  </si>
  <si>
    <t>PM16</t>
  </si>
  <si>
    <t>Provincial Procurement Divisions
Provincial Housing Agencies</t>
  </si>
  <si>
    <t>Modular manufacturers, subtrades (electrical, plumbing, HVAC, finishes), general contractors, inspectors, engineers, quantity surveyors.</t>
  </si>
  <si>
    <t>Provincial Government, Manufacturers, Developers &amp; General Contractors, Technical Professionals</t>
  </si>
  <si>
    <t>Fewer installation delays due to unclear responsibilities</t>
  </si>
  <si>
    <t>Review typical modular scope boundaries (factory vs. on-site)
Identify common interface failures on past projects
Update procurement templates with modular-specific scope language</t>
  </si>
  <si>
    <t xml:space="preserve">Pre-fabrication work is often missing from trade agreements and scopes, making coordination harder. </t>
  </si>
  <si>
    <t>Define OSC-specific responsibilities in trade scopes and use a standardized site-readiness checklist.</t>
  </si>
  <si>
    <t>PM17</t>
  </si>
  <si>
    <t>Manufacturing  and Supply Chain</t>
  </si>
  <si>
    <t>Provincial Housing Agencies (NSPHA, NB Housing, PEIHC, NLHC)
Provincial Procurement Divisions</t>
  </si>
  <si>
    <t>Modular manufacturers, transport companies, crane operators, site contractors, developers, lenders, municipal partners.</t>
  </si>
  <si>
    <t>Manufacturers, Provincial Government, Transportation &amp; Logistics Providers, Developers &amp; General Contractors, Finance &amp; Insurance/Business Services, Municipal Government</t>
  </si>
  <si>
    <t>Number of sites included in bundled procurements
Factory production allocated to Atlantic projects
Reduction in transport delays</t>
  </si>
  <si>
    <t> Identify regional OSC manufacturers and assess production capacity.
Analyze demand forecasts to determine bundling opportunities</t>
  </si>
  <si>
    <t>Limited OSC manufacturing capacity and an under-developed supply chain create dependency on imports, transport bottlenecks, and long lead times.</t>
  </si>
  <si>
    <t>Issue bundled OSC procurement approaches (e.g., offtake agreements) to de-risk capacity investment in the regional manufacturers and add regional logistics supports.</t>
  </si>
  <si>
    <t>PM18</t>
  </si>
  <si>
    <t>NB Housing
NB Power
Utility Providers (gas, water)</t>
  </si>
  <si>
    <t>Modular manufacturers, site contractors, utility companies, crane/transport teams, developers, municipal inspectors.</t>
  </si>
  <si>
    <t>Manufacturers, Developers &amp; General Contractors, Provincial Government, Municipal Government, Transportation &amp; Logistics Providers</t>
  </si>
  <si>
    <t>Number of tenders with confirmed servicing dates
Reduction in installation delays caused by utilities</t>
  </si>
  <si>
    <t>Early coordination meeting with utility providers
Confirm servicing capacity and timelines.
Identify qualified professionals to be an OSC integrator.</t>
  </si>
  <si>
    <t>The timing for servicing and installing utilities like water, power and gas is uncertain.</t>
  </si>
  <si>
    <t>Involve an OSC integrator or mature GC/CM to coordinate OSC project timelines efficiently with utility suppliers.</t>
  </si>
  <si>
    <t>PR1</t>
  </si>
  <si>
    <t>Policy and Regulatory</t>
  </si>
  <si>
    <t>Attitudes and Knowledge Gaps</t>
  </si>
  <si>
    <t>Provincial Housing Departments
 Municipal Affairs</t>
  </si>
  <si>
    <t>Municipal planning departments
 building officials, manufacturers, CMHC regional staff</t>
  </si>
  <si>
    <t>Municipal Government, Provincial Government, Federal Government, Manufacturers</t>
  </si>
  <si>
    <t>Number of projects approved
Approval time
Number of departments using pathway</t>
  </si>
  <si>
    <t>Development of clear eligibility criteria for selecting modular demonstration projects.
Creation of a standardized modular submission package for applicants.
Preparation of a modular review checklist for inspectors and permitting staff.</t>
  </si>
  <si>
    <t>PR</t>
  </si>
  <si>
    <t>There is a gap between the promotion of OSC and the acceptance of it. Specifically, politicians have been promoting OSC however their departments do not prefer it. A gap was also noted in CMHC promoting OSC despite the funding mechanisms not being friendly to OSC.</t>
  </si>
  <si>
    <t>Support the public and private sector in education and create a regional OSC approval pathway supported by coordinated public-awareness program. </t>
  </si>
  <si>
    <t>PR2</t>
  </si>
  <si>
    <t>NB Department of Local Government and Local Governance Reform (DLGLR)</t>
  </si>
  <si>
    <t>Municipal planning departments, development officers, NB Housing, CMHC regional office, NB Building Officials Association, developers &amp; modular manufacturers</t>
  </si>
  <si>
    <t>Municipal Government, Provincial Government, Federal Government, Manufacturers, Developers &amp; General Contractors</t>
  </si>
  <si>
    <t>Number of municipalities adopting the terminology
Reduction in terminology-related rejections
Consistency in NB Housing program applications</t>
  </si>
  <si>
    <t>Local, provincial</t>
  </si>
  <si>
    <t>Drafting of a concise modular terminology list based on CSA standards.
Internal review by NB Housing, DLGLR, and municipal planners to confirm usability.
Development of a short implementation memo instructing municipalities to adopt the terminology.</t>
  </si>
  <si>
    <t>Lack of alignment in terminology from funders. Ambiguity in terminology leading to confusion.</t>
  </si>
  <si>
    <t>Adopt the MMC Definition Framework across provincial and municipal policies, procurement documents and contracts.</t>
  </si>
  <si>
    <t>PR3</t>
  </si>
  <si>
    <t>NB Office of the Chief Medical Officer of Health (Public Health)
NB Department of Local Government &amp; Local Governance Reform (DLGLR)</t>
  </si>
  <si>
    <t>Regional Planning Commission, development officers, NB Housing, municipal councils, public health officers</t>
  </si>
  <si>
    <t>Municipal Government, Provincial Government</t>
  </si>
  <si>
    <t>Number of planning decisions referencing the Note.</t>
  </si>
  <si>
    <t>Drafting of the Healthy Housing Planning Note by NB Public Health with input from planning staff.
Review and approval by DLGLR for integration into municipal planning processes.
Distribution and short briefing session for development officers and planning commissions.</t>
  </si>
  <si>
    <t>Lack of emphasis of the impact of housing on population health</t>
  </si>
  <si>
    <t>Develop an NB Healthy Housing Planning Note linking housing and year-round safe employment to population health.</t>
  </si>
  <si>
    <t>PR4</t>
  </si>
  <si>
    <t>Codes and Standards</t>
  </si>
  <si>
    <t>Department of Public Safety (NB)
Department of Municipal Affairs and Housing (NS)
Department of Housing, Land and Communities (PEI)
Service NL (NL)</t>
  </si>
  <si>
    <t>Building officials, municipal plan reviewers, housing departments, modular manufacturers, consulting engineers</t>
  </si>
  <si>
    <t>Provincial Government, Technical Professionals,  Manufacturers</t>
  </si>
  <si>
    <t>Change in average permit review times for modular projects (before vs after guide)
Number of municipalities that formally adopt or reference the AM-CNG in procedures
Number of RFIs or code-related clarifications requested on modular submissions (aim: decrease)
Number of building officials / plan reviewers trained using the guide</t>
  </si>
  <si>
    <t xml:space="preserve">Inventory of existing modular-related code interpretations and issues
Draft modular-specific code navigation guide for review
Pilot the updates and educational sessions with a small set of municipalities / projects. </t>
  </si>
  <si>
    <t>Complexity of codes: mention of challenges navigating national, provincial, and local codes (including NBC, NECB).</t>
  </si>
  <si>
    <t>At a regional level, work with the NRC to create a technical committee to update the code for OSC and educate planners, architects, building officials and relevant industry members.</t>
  </si>
  <si>
    <t>PR5</t>
  </si>
  <si>
    <t>Building officials, municipal plan reviewers, housing departments, modular manufacturers, consulting engineers, architects</t>
  </si>
  <si>
    <t>Provincial Government, Technical Professionals, Manufacturers</t>
  </si>
  <si>
    <t>Number of municipalities that formally adopt it
Reduction in modular projects flagged for seismic/accessibility differences
Reduction in RFIs for out-of-province modular submissions
Approval timelines (before vs after)</t>
  </si>
  <si>
    <t>Identify common conflicts to adopting CSA A277. 
Regional meeting with code officials to agree on acceptable approaches.</t>
  </si>
  <si>
    <t xml:space="preserve">Challenges related to codes and standards differing between provinces and municipalities. In addition to accessibility codes and seismic requirements differing across the country. </t>
  </si>
  <si>
    <t xml:space="preserve">Encourage adoption of CSA A277 across the province and all municipalities regardless of location of OSC factories (as they need to build to the code of final modular destination). </t>
  </si>
  <si>
    <t>PR6</t>
  </si>
  <si>
    <t>Government Coordination</t>
  </si>
  <si>
    <t>Department of Public Safety (NB)
NB Housing
Department of Municipal Affairs and Housing (NS)
Department of Housing, Land and Communities (PEI)
Service NL (NL)
Newfoundland and Labrador Housing Corporation (NLHC)</t>
  </si>
  <si>
    <t>Provincial Building Code / Technical Standards branches, Municipal Affairs / Municipal Planning divisions, provincial procurement units, municipal planning commissions
Atlantic Building Officials Association, modular manufacturers, key federal partners (CMHC Atlantic)</t>
  </si>
  <si>
    <t>Provincial Government, Municipal Government, Manufacturers, Federal Government</t>
  </si>
  <si>
    <t>Number of coordination meetings held
Number of cross-department issues resolved
Feedback from departments on clarity of roles</t>
  </si>
  <si>
    <t>Identify representatives from Housing, Planning, Code, and Procurement in each province.
Agree on basic Terms of Reference (purpose: modular-related coordination only).
Create a shared information template for departments to submit updates/issues.
Schedule quarterly virtual meetings (Atlantic-wide).</t>
  </si>
  <si>
    <t>Lack of communication across government agencies.</t>
  </si>
  <si>
    <t>Establish the Atlantic Off-site Housing Innovation Network with a clear mandate including monthly (or quarterly inter-provincial meetings) with up to two points-of-contact reporting back to provincial committees.</t>
  </si>
  <si>
    <t>PR7</t>
  </si>
  <si>
    <t>NL</t>
  </si>
  <si>
    <t xml:space="preserve">Service NL - Built Environment Division
NL Housing Corporation </t>
  </si>
  <si>
    <t>Municipal building officials, municipal planning departments, provincial procurement division, NL Housing project managers, modular manufacturers delivering to NL,
Office of the Fire Commissioner</t>
  </si>
  <si>
    <t>Provincial Government, Technical Professionals, Municipal Government</t>
  </si>
  <si>
    <t>Number of modular projects supported by the liaison
Reduction in RFI volume related to outdated policies
Faster issue resolution times (before vs after designation)
Reduction in approval delays</t>
  </si>
  <si>
    <t>Assign an existing staff member in Service NL as Modular Liaison Officer (no new hiring needed).
Establish mandate: resolve outdated-policy conflicts, coordinate with NL Housing, guide modular projects.
Set up an intake channel like email or form for modular-related questions.
Hold initial coordination meetings with NL Housing and priority municipalities.
Start tracking outdated policies to inform future modernization efforts.</t>
  </si>
  <si>
    <t>Outdated policies needing to be updated.</t>
  </si>
  <si>
    <t>Designate a VMC Liaison Officer in NL.</t>
  </si>
  <si>
    <t>PR8</t>
  </si>
  <si>
    <t>Inspections</t>
  </si>
  <si>
    <t>NS Department of Municipal Affairs &amp; Housing – Building and Technical Standards Division
Office of the Fire Marshal
Nova Scotia Provincial Housing Agency</t>
  </si>
  <si>
    <t>NS Building Officials Association, municipal building officials &amp; development officers, modular manufacturers shipping into NS, general contractors &amp; installation crews, electrical and plumbing inspectors (as needed), NSPHA project managers</t>
  </si>
  <si>
    <t>Provincial Government, Technical Professionals</t>
  </si>
  <si>
    <t>Reduction in coordination issues reported.
Reduction in duplicated site activities or installation delays
Faster turnaround for modular installation scheduling
Number of municipalities using it.
Feedback from contractors and building officials on clarity</t>
  </si>
  <si>
    <t>Identify the roles and responsibilites of all involved in a project early in the project timeline. 
Identify qualified professionals to be an OSC integrator and support the training of experienced GCs to develop OSC integration skills.</t>
  </si>
  <si>
    <t>Operational complexity with OSC due to multiple contractors and on-site and off-site teams.</t>
  </si>
  <si>
    <t>Involve an OSC integrator or mature GC/CM in projects &gt;8 units to support on- and off-site coordination.</t>
  </si>
  <si>
    <t>PR9</t>
  </si>
  <si>
    <t>Nova Scotia Building Officials Association
New Brunswick Building Officials Association
Municipal Building Officials Association of Prince Edward Island
Newfoundland and Labrador Building Officials Association
Department of Public Safety (NB)
Department of Municipal Affairs and Housing (NS)
Department of Housing, Land and Communities (PEI)
Service NL (NL)</t>
  </si>
  <si>
    <t>Municipal building officials across Atlantic Canada, modular manufacturers (CSA A277 certified), installation contractors, NSPHA, NB Housing, PEI Housing, NL Housing, Office of the Fire Marshal (provincial), developers using modular systems</t>
  </si>
  <si>
    <t>Reduction in duplicated inspection steps
% of Atlantic municipalities using the acceptance framework
Shortened inspection timelines for modular projects
Fewer RFI (Requests for Information) from inspectors
Improved manufacturer feedback on municipal acceptance</t>
  </si>
  <si>
    <t>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
Identify which assembly-stage checks commonly cause concern for inspectors.</t>
  </si>
  <si>
    <t>Concerns about duplicate inspections resulting in inefficiencies</t>
  </si>
  <si>
    <t>Educate building inspectors on CSA A277 vs. CSA Z240 and develop regional inspection checklist for on site inspections (to be adopted by all AHJs).</t>
  </si>
  <si>
    <t>PR10</t>
  </si>
  <si>
    <t>Service NL</t>
  </si>
  <si>
    <t>Local manufacturers, NL Housing Corporation,  CSA Group, modular installers</t>
  </si>
  <si>
    <t>Provincial Government, Manufacturers</t>
  </si>
  <si>
    <t>Number of manufacturers receiving rebate
Number of manufacturers getting CSA certification
Increase in modular supply in NL</t>
  </si>
  <si>
    <t>Define the rebate criteria, including which manufacturers are eligible and what conditions must be met.
Confirm which certification costs are eligible.
Set up a simple application form so manufacturers can submit proof of certification to receive the rebate.</t>
  </si>
  <si>
    <t>Cost barriers and lack of incentives to becoming CSA certified.</t>
  </si>
  <si>
    <t>Work with the Department of IET in NL to introduce a CSA A277 certification rebate.</t>
  </si>
  <si>
    <t>PR11</t>
  </si>
  <si>
    <t>NS Department of Municipal Affairs &amp; Housing - Building &amp; Technical Standards Division
NS Building Officials Association (NSBOA)</t>
  </si>
  <si>
    <t>Municipal building officials, modular manufacturers supplying NS, general contractors &amp; installation crews, Office of the Fire Marshal</t>
  </si>
  <si>
    <t>Provincial Government, Municipal Government, Developers &amp; General Contractors</t>
  </si>
  <si>
    <t>Number of inspectors using the checklist
Reduction in duplicated full building reinspections</t>
  </si>
  <si>
    <t>Identify which assembly-stage checks commonly cause concern for inspectors.
Draft a short checklist with NSBOA input.
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t>
  </si>
  <si>
    <t>Concerns that inspections done on components in factory instead of the whole building could lead to hidden issues which may emerge when components are combined.</t>
  </si>
  <si>
    <t>PR12</t>
  </si>
  <si>
    <t>Permitting and Approvals</t>
  </si>
  <si>
    <t>Municipal Building &amp; Permitting Departments
Provincial Housing Agencies
Provincial Departments of Municipal Affairs</t>
  </si>
  <si>
    <t>Manufacturers, developers, architects, engineers,permitting officials, general contractors.</t>
  </si>
  <si>
    <t>Provincial Government, Municipal Government, Technical Professionals, Developers &amp; General Contractors</t>
  </si>
  <si>
    <t>Average modular permitting time before vs. after track
Number of repeatable modular designs pre-verified
Increase in modular applications submitted</t>
  </si>
  <si>
    <t>Identify which modular designs can be pre-verified.
Provide municipalities with CSA certification details.
Update municipal workflows to skip factory-completed checks.</t>
  </si>
  <si>
    <t>Slow and costly approval processes</t>
  </si>
  <si>
    <t xml:space="preserve">Building off the CMHC Housing Design Catalogue, create an Atlantic OSC catalogue and pre-approve permitting for projects designed to the catalogue. </t>
  </si>
  <si>
    <t>PR13</t>
  </si>
  <si>
    <t>Municipal planning departments
Provincial planning/technical standards divisions</t>
  </si>
  <si>
    <t>Developers, modular manufacturers, development officers, municipal planners, building officials</t>
  </si>
  <si>
    <t xml:space="preserve">Provincial Government, Municipal Government, Technical Professionals, Developers &amp; General Contractors </t>
  </si>
  <si>
    <t>Improved clarity in pre-application reviews</t>
  </si>
  <si>
    <t>Local, provincial, regional</t>
  </si>
  <si>
    <t>Review existing zoning categories across sample municipalities.
Identify where modular fits (e.g., single-unit, multi-unit, accessory).
Validate with municipal planners and development officers.</t>
  </si>
  <si>
    <t>Municipal zoning rules restrict certain housing types, proximity requirements, or have unclear procedures between zoning and permitting steps.</t>
  </si>
  <si>
    <t xml:space="preserve">Undertake a review of by-laws to minimize the impact on OSC designed buildings and increase housing supply in the municipality. </t>
  </si>
  <si>
    <t>PR14</t>
  </si>
  <si>
    <t>Municipal planners and development officers, building officials, modular manufacturers, developers, provincial housing agencies</t>
  </si>
  <si>
    <t>Provincial Government, Municipal Government, Manufacturers, Developers &amp; General Contractors</t>
  </si>
  <si>
    <t>Reduction in process-related RFIs for modular files</t>
  </si>
  <si>
    <t>Review current approval steps across select municipalities.
Define departmental roles and responsibilities clearly.
Validate with municipal planners and building officials.</t>
  </si>
  <si>
    <t>Unclear processes: multiple layers of government or departments involved, unclear distinctions/responsibilities between codes, bylaws, and approval pathways.</t>
  </si>
  <si>
    <t xml:space="preserve">Create and publish a guide and then digitize the processes provide clarity to individuals involved in the approval process and all builders looking to build in the municipality. </t>
  </si>
  <si>
    <t>PR15</t>
  </si>
  <si>
    <t>NB Department of Tourism, Heritage and Culture - Heritage Branch
NB Department of Public Safety - Building Code Administration</t>
  </si>
  <si>
    <t>Developers, municipalities planning staff, odular manufacturers, NB Housing, archaeology and heritage consultants</t>
  </si>
  <si>
    <t>Provincial Government, Developers &amp; General Contractors, Technical Professionals</t>
  </si>
  <si>
    <t>Reduction in unplanned heritage-related delays
Fewer RFIs to the Heritage Branch</t>
  </si>
  <si>
    <t>Confirm which heritage triggers apply in unincorporated areas
Summarize permit types (site alteration, impact assessment)
Validate with NB Heritage Branch</t>
  </si>
  <si>
    <t>Heritage Conservation Act identifies heritage places in unincorporated areas, providing a barrier for housing.</t>
  </si>
  <si>
    <t>Encourage the use of panelized (category 2) or other forms of OSC that can meet requirements within the Heritage Conservation Act.</t>
  </si>
  <si>
    <t>TL1</t>
  </si>
  <si>
    <t>Transportation and Logistics</t>
  </si>
  <si>
    <t>Module size and road restrictions</t>
  </si>
  <si>
    <t>Provincial Departments of Transportation
Municipal transportation departments</t>
  </si>
  <si>
    <t>Provincial government, municipal governments, transportation and logistics providers, general contractors</t>
  </si>
  <si>
    <t>Provincial Government, Municipal Government, Transportation &amp; Logistics Providers, Developers &amp; General Contractors, Municipal Government</t>
  </si>
  <si>
    <t>Number of agreements signed
Reduced delays due to permit harmonization
Number of municipalities participating</t>
  </si>
  <si>
    <t>Regulatory coordination between provinces
Legal framework for transport agreements</t>
  </si>
  <si>
    <t>TL</t>
  </si>
  <si>
    <t>Escort and permit rules for oversized modules (often &gt;12 ft wide) differ between jurisdictions.</t>
  </si>
  <si>
    <t>Collaborate across the region to develop overload escort/ permit requirements for both urban and rural centres to eliminate confusion across the sector. .</t>
  </si>
  <si>
    <t>TL2</t>
  </si>
  <si>
    <t>Provincial Departments of Transportation &amp; Infrastructure
Municipal public works departments
Utility companies
Transportation/logistics providers</t>
  </si>
  <si>
    <t>Utility companies (power, telecommunications, etc), provincial governments, municipal governments, transportation and logisitics providers, general contractors, owners</t>
  </si>
  <si>
    <t>Transportation &amp; Logistics Providers, Developers &amp; General Contractors, Provincial Government, Municipal Government</t>
  </si>
  <si>
    <t>2026-2027</t>
  </si>
  <si>
    <t>Database completeness
Reduced transport delays</t>
  </si>
  <si>
    <t>Provincial, local</t>
  </si>
  <si>
    <t>Data collection on bridges, roads, turning radii
Mapping infrastructure conflicts</t>
  </si>
  <si>
    <t>Module width/height is constrained by bridge clearances, turning radii, and road widths</t>
  </si>
  <si>
    <t>Consider design for manufacturing, transportation and assembly by province with the provinces transportation constraints in mind.</t>
  </si>
  <si>
    <t>TL3</t>
  </si>
  <si>
    <t>Provincial Departments of Transportation
Municipal permitting offices
General contractors</t>
  </si>
  <si>
    <t>General contractor, provincial governments</t>
  </si>
  <si>
    <t>Provincial Government, Developers &amp; General Contractors</t>
  </si>
  <si>
    <t>Difficult</t>
  </si>
  <si>
    <t>Number of deliveries adjusted around restrictions
Reduced seasonal delays</t>
  </si>
  <si>
    <t>Schedule coordination with authorities
Awareness of seasonal restriction periods</t>
  </si>
  <si>
    <t>Seasonal weight restrictions</t>
  </si>
  <si>
    <t>Create designated transportation route with temporary staging yards for critical projects.</t>
  </si>
  <si>
    <t>TL4</t>
  </si>
  <si>
    <t>NL Department of Transportation amd Infrastructure
NL Housing Corporation
Industry associations
Build Canada Homes</t>
  </si>
  <si>
    <t>Industry associations, provincial government, municipal governments, federal government</t>
  </si>
  <si>
    <t>Provincial Government, Industry Associations, Municipal Government, Federal Government</t>
  </si>
  <si>
    <t>Adoption of pre-approved designs
Reduced transport delays</t>
  </si>
  <si>
    <t>Local, regional, national</t>
  </si>
  <si>
    <t>Gain a comprehensive understanding of NL-specific transportation requirements.</t>
  </si>
  <si>
    <t>Modules must be designed to match available island transport equipment.</t>
  </si>
  <si>
    <t>Consider design for manufacturing, transportation and assembly with NL’s transportation constraints in mind.</t>
  </si>
  <si>
    <t>TL5</t>
  </si>
  <si>
    <t xml:space="preserve">NL Department of Transportation &amp; Infrastructure
Marine Atlantic </t>
  </si>
  <si>
    <t>Provincial government, transportation and logistics providers</t>
  </si>
  <si>
    <t>Provincial Government, Transportation &amp; Logistics Providers</t>
  </si>
  <si>
    <t>Number of ferry trips using discounted/off-peak rates
Cost savings
On-time deliveries</t>
  </si>
  <si>
    <t>Agreements with ferry operators
Approval of subsidy program</t>
  </si>
  <si>
    <t>Ferry costs add major expense for panelized construction.</t>
  </si>
  <si>
    <t>Develop a pre-approved OSC route and work with ferry companies to provide discounted or off-peak ferry rates for projects carrying critical infrastructure (e.g., affordable housing).</t>
  </si>
  <si>
    <t>TL6</t>
  </si>
  <si>
    <t>New Brunswick Department of Transportation and Infrastructure (DTI)
Logistics providers</t>
  </si>
  <si>
    <t>Condition of delivery routes
Reduced transport incidents
Maintenance logs</t>
  </si>
  <si>
    <t>Identification of modular delivery routes
Allocation of maintenance funding</t>
  </si>
  <si>
    <t>Poor detour roads increase delivery risk.</t>
  </si>
  <si>
    <t>Work with NBDTI and local municipalities to consider OSC delivery on detour routes.</t>
  </si>
  <si>
    <t>TL7</t>
  </si>
  <si>
    <t>Nova Scotia Department of Public Works</t>
  </si>
  <si>
    <t>Industry Associations, Provincial Government, Municipal Government, Municipal Government</t>
  </si>
  <si>
    <t>Pre-approved design adoption
Reduced transport-related issues</t>
  </si>
  <si>
    <t>Development of standard modular dimensions
Coordination with local authorities</t>
  </si>
  <si>
    <t>No standardized dimensions for local volumetric modular practice.</t>
  </si>
  <si>
    <t>Provide discounted or off-peak ferry rates. </t>
  </si>
  <si>
    <t>TL8</t>
  </si>
  <si>
    <t>Provincial Government, Municipal Government, Transportation &amp; Logistics Providers, Developers &amp; General Contractors</t>
  </si>
  <si>
    <t>Number of transport agreements signed
Reduced permit delays</t>
  </si>
  <si>
    <t>Provincial/regional coordination
Legal framework established</t>
  </si>
  <si>
    <t>HRM has distinct escort/permit timing from rural NS.</t>
  </si>
  <si>
    <t>Identify OSC delivery routes and infrastructure conflict-point database.</t>
  </si>
  <si>
    <t>TL9</t>
  </si>
  <si>
    <t>Nova Scotia Department of Public Works
HRM Transportation and Public Workds
Municipalities</t>
  </si>
  <si>
    <t>Provincial Government, Transportation &amp; Logistics Providers, Developers &amp; General Contractors, Municipal Government</t>
  </si>
  <si>
    <t>Number of pre-approved routes
Reduced police escort requirements
Transport time savings</t>
  </si>
  <si>
    <t>Mapping of routes
Coordination with police and municipal authorities</t>
  </si>
  <si>
    <t>Larger modules require police escorts; delays occur when escorts leave</t>
  </si>
  <si>
    <t>TL10</t>
  </si>
  <si>
    <t>Damage and Protection</t>
  </si>
  <si>
    <t>Academic and training institutions
CHBA</t>
  </si>
  <si>
    <t>Manufacturers, transportation and logistics providers, general contractors, CHBA or construction associations(?), trades schools/colleges, academic institutions</t>
  </si>
  <si>
    <t>Manufacturers, Transportation &amp; Logistics Providers, Academic/Training Institutions, Industry Associations</t>
  </si>
  <si>
    <t>Reports of damage to modules during transportation
Compliance with best practices</t>
  </si>
  <si>
    <t>National</t>
  </si>
  <si>
    <t xml:space="preserve">Review of current standards and practices. </t>
  </si>
  <si>
    <t>Inconsistent moisture barriers and wrapping practices.</t>
  </si>
  <si>
    <t>Working with the UNB OCRC’s High-Performance Buildings Research (HPBR) Lab, identify best practices and for building envelope details and wrapping during transport.</t>
  </si>
  <si>
    <t>TL11</t>
  </si>
  <si>
    <t>Industry associations
Insurance companies</t>
  </si>
  <si>
    <t>General contractors, manufacturers, owners, transportation and logistics providers</t>
  </si>
  <si>
    <t>Industry Associations, Developers &amp; General Contractors, Transportation &amp; Logistics Providers, Manufacturers, Finance &amp; Insurance/Business Services</t>
  </si>
  <si>
    <t xml:space="preserve">
Reduction in disputes</t>
  </si>
  <si>
    <t>Local</t>
  </si>
  <si>
    <t>Identify common project conflicts</t>
  </si>
  <si>
    <t>Responsibility/liability for damage is unclear between manufacturer, hauler, GC.</t>
  </si>
  <si>
    <t>Work with CCDC to create contract templates which identify roles and responsibilities of all parties and how project conflicts (module or panel damage) will be rectified. 
In parallel, work with the HPBR Lab on R&amp;D to eliminate damages during transportation, erection and assembly</t>
  </si>
  <si>
    <t>TL12</t>
  </si>
  <si>
    <t>Manufacturers
Transportation/logistics providers
CHBA National (framework for best practices)
Trade schools/colleges (training)</t>
  </si>
  <si>
    <t>Manufacturers, Transportation &amp; Logistics Providers, Developers &amp; General Contractors, Academic/Training Institutions, Industry Associations</t>
  </si>
  <si>
    <t>Number of training sessions delivered
Reports of damage to modules during transportation</t>
  </si>
  <si>
    <t>Denting, corner damage, and structural movement during loading/unloading.</t>
  </si>
  <si>
    <t xml:space="preserve">Work with CCDC to create contract templates which identify roles and responsibilities of all parties and how project conflicts (module or panel damage) will be rectified.
In parallel, work with the HPBR Lab on R&amp;D to eliminate damages during transportation, erection and assembly. 
 </t>
  </si>
  <si>
    <t>TL13</t>
  </si>
  <si>
    <t>Nova Scotia Department of Environment &amp; Climate Change
Natural Resources Canada (funding for low-impact equipment)</t>
  </si>
  <si>
    <t>Provincial and federal governments, research institutions, industry groups</t>
  </si>
  <si>
    <t>Provincial Government, Federal Government, Academic/Training Institutions, Industry Associations</t>
  </si>
  <si>
    <t>Reduction in soil compaction incidents
Number of subsidized equipment purchases</t>
  </si>
  <si>
    <t>National, regional</t>
  </si>
  <si>
    <t xml:space="preserve">Identify qualified professionals to be an a OSC integrator. </t>
  </si>
  <si>
    <t>Heavy machinery causes soil compaction and clearing.</t>
  </si>
  <si>
    <t>Identify an OSC integrator role in the project team to ensure proper planning and location of heavy equipment for transportation, erection and installation.</t>
  </si>
  <si>
    <t>TL14</t>
  </si>
  <si>
    <t>Site access and Storage constraints</t>
  </si>
  <si>
    <t>Municipal governments (zoning, temporary yard designation)
Provincial Departments of Transportation (coordination)
GC/transportation providers</t>
  </si>
  <si>
    <t>General contractor, transportation/logistics provider, municipal governments, provincial governments, manufacturers, property owners</t>
  </si>
  <si>
    <t>Municipal Government, Developers &amp; General Contractors, Manufacturers, Transportation &amp; Logistics Providers, Provincial Government</t>
  </si>
  <si>
    <t>Number of staging yards designated
Reduction in delivery delays
Improvement in on-time module deliveries</t>
  </si>
  <si>
    <t>Database of land potentiall available for staging near sites</t>
  </si>
  <si>
    <t>Limited staging and storage space near construction sites.</t>
  </si>
  <si>
    <t>Create designated temporary staging yards and use digital tools. </t>
  </si>
  <si>
    <t>TL15</t>
  </si>
  <si>
    <t>New Brunswick Office of the Fire Marshal
NB Department of Transportation &amp; Infrastructure</t>
  </si>
  <si>
    <t>Number of conflicts identified in database
Reduction in transport delays due to conflicts</t>
  </si>
  <si>
    <t>Database of infrastructure conflict points developed</t>
  </si>
  <si>
    <t>Conflicts with power lines, telecommunications, and fire marshal requirements.</t>
  </si>
  <si>
    <t>Maintain conflict-point databases and use alternate construction methods.</t>
  </si>
  <si>
    <t>TL16</t>
  </si>
  <si>
    <t>Halifax Regional Municipality (HRM)</t>
  </si>
  <si>
    <t>General contractor, transportation/logistics provider, municipal government, manufacturer</t>
  </si>
  <si>
    <t>Municipal Government, Developers &amp; General Contractors, Manufacturers</t>
  </si>
  <si>
    <t>Number of temporary road closures approved
Number of nighttime deliveries completed safely</t>
  </si>
  <si>
    <t>Owners, GCs, and manufacturers must be adaptable to the methods of construction most suitable for specific cases</t>
  </si>
  <si>
    <t>Difficult access in dense urban areas (tight roads, overhead utilities).</t>
  </si>
  <si>
    <t>WD1</t>
  </si>
  <si>
    <t>Skilled Workforce and  Development</t>
  </si>
  <si>
    <t>Training &amp; Skills Development</t>
  </si>
  <si>
    <t>Provincial departments of advanced education
Trade schools/colleges (NSCC, NBCC, Holland College, CNA)</t>
  </si>
  <si>
    <t>Industry groups, trades schools/colleges, provincial government</t>
  </si>
  <si>
    <t xml:space="preserve">Provincial Government, Industry Associations, Academic/Training Institutions, </t>
  </si>
  <si>
    <t>Number of participants completing mini-courses
Number of certificates issued
Employer satisfaction with trained workforce</t>
  </si>
  <si>
    <t>Regional</t>
  </si>
  <si>
    <t>Secure industry/trade school partnerships
Develop modular course content and materials</t>
  </si>
  <si>
    <t>WD</t>
  </si>
  <si>
    <t>Few OSC-specific training programs across colleges/trade schools.</t>
  </si>
  <si>
    <t>Work collaboratively across the Atlantic provinces (UNB OCRC, NBCC, CCNB, NSCC, Holland College and CAN) to update curriculum and integrate OSC training .</t>
  </si>
  <si>
    <t>WD2</t>
  </si>
  <si>
    <t>Provincial departments of advanced education
Trade schools/colleges (NSCC, NBCC, Holland College, CNA)
Industry associations</t>
  </si>
  <si>
    <t>Provincial Government, Academic/Training Institutions, Industry Associations</t>
  </si>
  <si>
    <t> Assess knowledge gaps across the region.
Develop the curriculum and learning targets for the courses.</t>
  </si>
  <si>
    <t>Retraining to shift workers from traditional methods to MMC.</t>
  </si>
  <si>
    <t>Offer OSC mini-courses, micro-credentials, workshops or the AMC certificate across the region.</t>
  </si>
  <si>
    <t>WD3</t>
  </si>
  <si>
    <t>Canadian Home Builders’ Association (CHBA National)
Provincial Apprenticeship Authorities (NS Apprenticeship, NB Apprenticeship, etc.)</t>
  </si>
  <si>
    <t>Industry groups, trades schools/colleges</t>
  </si>
  <si>
    <t>Industry Associations, Academic/Training Institutions</t>
  </si>
  <si>
    <t>Adoption rate of national curriculum by provinces
Number of institutions offering courses
Enrollment numbers</t>
  </si>
  <si>
    <t>National, provincial</t>
  </si>
  <si>
    <t>Align provincial apprenticeship bodies to recognize modular-specific credentials
Establish CHBA alignment
Approval by national training authorities
Funding for curriculum development</t>
  </si>
  <si>
    <t>Lack of clear, unified training pathways or standards for OSC across Canada.</t>
  </si>
  <si>
    <t>Build off the AMC certificate to develop a national OSC curriculum and align apprenticeships with OSC credentials.</t>
  </si>
  <si>
    <t>WD4</t>
  </si>
  <si>
    <t>NSCC, Nova Scotia Department of Advanced Education
Provincial marketing/communications offices</t>
  </si>
  <si>
    <t>Trades schools/colleges</t>
  </si>
  <si>
    <t>Academic/Training Institutions, Provincial Government</t>
  </si>
  <si>
    <t>Enrollment numbers in NSCC modular courses
Campaign reach (social media, schools)
Number of applications received</t>
  </si>
  <si>
    <t>Local. provincial</t>
  </si>
  <si>
    <t>Marketing campaign materials
Coordination with NSCC and provincial education authorities</t>
  </si>
  <si>
    <t>NSCC programs closing due to low enrollment.</t>
  </si>
  <si>
    <t>Opportunity to rethink programs targeting MMC training.</t>
  </si>
  <si>
    <t>WD5</t>
  </si>
  <si>
    <t>Provincial Apprenticeship Authorities
Indigenous organizations</t>
  </si>
  <si>
    <t>Industry groups, trades schools/colleges, Indigenous organizations</t>
  </si>
  <si>
    <t>Industry Associations, Indigenous &amp; Community Organizations, Provincial Government, Academic/Training Institutions</t>
  </si>
  <si>
    <t>Number of foreign-trained workers completing recognition process
Number of culturally appropriate programs delivered
Participation by Indigenous students</t>
  </si>
  <si>
    <t>Agreements with credentialing bodies
Partnerships with Indigenous organizations
Development of training content</t>
  </si>
  <si>
    <t xml:space="preserve">Barriers for foreign-trained workers to gain equivalency; limited culturally appropriate programs for Indigenous communities. </t>
  </si>
  <si>
    <t>Create streamlined credential-recognition pathways for internationally trained workers and engage Indigenous communities to understand how to best overcome the barrier.  </t>
  </si>
  <si>
    <t>WD6</t>
  </si>
  <si>
    <t>Skilled Trades &amp; Labour Availability</t>
  </si>
  <si>
    <t>New Brunswick Community College (NBCC)
NB Department of Post-Secondary Education, Training, and Labour (PETL)
Industry associations</t>
  </si>
  <si>
    <t>Trades schools/colleges, industry groups</t>
  </si>
  <si>
    <t>Number of apprenticeships created
Program enrollment
Industry placement rates</t>
  </si>
  <si>
    <t>College/unions agreement
Curriculum development
Employer sponsorship secured</t>
  </si>
  <si>
    <t>Shortage of skilled trades needed for OSC construction (design, assembly, mass timber, mechanical/electrical, etc.).</t>
  </si>
  <si>
    <t>Expand OSC-focused trade training, fast-track upskilling, and introduce industry-supported apprenticeships.</t>
  </si>
  <si>
    <t>WD7</t>
  </si>
  <si>
    <t>Provincial Economic Development Departments
Innovation, Science &amp; Economic Development Canada
Modular manufacturers
Build Canada Homes</t>
  </si>
  <si>
    <t>Provincial government, federal government, industry groups, Manufacturers</t>
  </si>
  <si>
    <t>Provincial Government, Industry Associations, Manufacturers, Federal Government</t>
  </si>
  <si>
    <t>Efficiency KPIs folllowing implementation of automation
Output per worker
Reduced labour bottlenecks</t>
  </si>
  <si>
    <t>Local, regional</t>
  </si>
  <si>
    <t>Investment in automation equipment
Worker training on new technology</t>
  </si>
  <si>
    <t>Low overall workforce availability limits the ability to scale modular construction.</t>
  </si>
  <si>
    <t>Invest in factory automation to increase supply and strengthen OSC recruitment.</t>
  </si>
  <si>
    <t>WD8</t>
  </si>
  <si>
    <t>Provincial Departments of Economic Development &amp; Labour
Employment and Social Development Canada (ESDC)
Modular manufacturers</t>
  </si>
  <si>
    <t>Provincial government, federal government, manufacturers</t>
  </si>
  <si>
    <t>Provincial Government, Manufacturers, Federal Government</t>
  </si>
  <si>
    <t>Number of relocation/housing subsidies granted
Change in labour availability at rural facilities</t>
  </si>
  <si>
    <t>Regional, local</t>
  </si>
  <si>
    <t>Provincial/federal funding approval
Policy design for incentives</t>
  </si>
  <si>
    <t>Rural factory locations limit labour access and reduce available workforce pools.</t>
  </si>
  <si>
    <t>Provide relocation incentives and additional benefits (e.g., housing) to grow the workforce.</t>
  </si>
  <si>
    <t>WD9</t>
  </si>
  <si>
    <t>Provincial Departments of Transportation &amp; Infrastructure
Large transportation/logistics companies</t>
  </si>
  <si>
    <t>Industry groups, transportation and logistics providers</t>
  </si>
  <si>
    <t>Industry Associations, Transportation &amp; Logistics Providers, Provincial Government</t>
  </si>
  <si>
    <t>Counts of shared resources
Project delays due to lack of resources</t>
  </si>
  <si>
    <t>Coordination agreements between provinces
Identification of regional capacity gaps</t>
  </si>
  <si>
    <t>Limited access to specialized equipment operators (e.g., cranes, certified operators).</t>
  </si>
  <si>
    <t>Promote collaboration and include heavy equipment and crane operations in the outreach for opportunities in the industry.</t>
  </si>
  <si>
    <t>WD10</t>
  </si>
  <si>
    <t>Provincial Construction Associations
Modular manufacturers</t>
  </si>
  <si>
    <t>Indusry groups, general contractors</t>
  </si>
  <si>
    <t>Industry Associations, Manufacturers, Developers &amp; General Contractors</t>
  </si>
  <si>
    <t>Attendance at forums
Number of contractors completing training modules
Feedback surveys</t>
  </si>
  <si>
    <t>Development of training modules
Industry association support</t>
  </si>
  <si>
    <t>Few contractors have OSC experience, limiting participation.</t>
  </si>
  <si>
    <t>Facilitate knowledge sharing with conferences and training.</t>
  </si>
  <si>
    <t>WD11</t>
  </si>
  <si>
    <t> Provincial Government</t>
  </si>
  <si>
    <t>Municipal government, provincial government, federal government</t>
  </si>
  <si>
    <t>Municipal Government, Provincial Government, Federal Government</t>
  </si>
  <si>
    <t>Number of municipal staff hired
Permitting turnaround times
Number of pre-approved designs adopted</t>
  </si>
  <si>
    <t>Budget approval
Digital permitting system development
Modular design approval templates</t>
  </si>
  <si>
    <t>Staff shortages in public offices (planning, permitting, fire inspection) delay projects.</t>
  </si>
  <si>
    <t>Identify training (e.g., AMC certificate) for existing municipal staff, increase staffing, digitize processes (e.g., permitting), and adopt pre-approved OSC designs.</t>
  </si>
  <si>
    <t>WD12</t>
  </si>
  <si>
    <t>NL government: Department of Municipal and Community Affairs
College of the North Atlantic</t>
  </si>
  <si>
    <t>Academic/Training Institutions, Provincial Government, Industry Associations</t>
  </si>
  <si>
    <t>Number of inspectors trained
Inspector certification rates
Reduced inspection delays</t>
  </si>
  <si>
    <t>Collaboration with industry associations
Curriculum development for inspector training</t>
  </si>
  <si>
    <t>New building inspectors are inexperienced.</t>
  </si>
  <si>
    <t>Develop modular-specific inspector training modules.</t>
  </si>
  <si>
    <t>WD13</t>
  </si>
  <si>
    <t>Municipal governments
Manufacturers</t>
  </si>
  <si>
    <t>Manufacturers</t>
  </si>
  <si>
    <t>Manufacturers, Municipal Government</t>
  </si>
  <si>
    <t>Compliance with noise scheduling
Reduced labour downtime</t>
  </si>
  <si>
    <t>Development of optimized scheduling guidelines
Coordination with local municipalities</t>
  </si>
  <si>
    <t>Noise and work-hour limits reduce labour availability.</t>
  </si>
  <si>
    <t>Improve scheduling efficiency.</t>
  </si>
  <si>
    <t>WD14</t>
  </si>
  <si>
    <t>Construction Association of PEI
PEI Ministry of Housing, Land and Communities</t>
  </si>
  <si>
    <t>Industry groups, academic and training institutions</t>
  </si>
  <si>
    <t>Provincial Government, Industry Associations, Academic/Training Institutions</t>
  </si>
  <si>
    <t>Number of training sessions hosted
Number of attendees trained</t>
  </si>
  <si>
    <t>Workshop scheduling and content planning</t>
  </si>
  <si>
    <t>Lack of on-island OSC experts on off-site methods.</t>
  </si>
  <si>
    <t>Partner with the trade associations, schools and universities to host expert training sessions and encourage collaboration.</t>
  </si>
  <si>
    <t>WD15</t>
  </si>
  <si>
    <t>Awareness, Culture &amp; Mindset</t>
  </si>
  <si>
    <t>Provincial construction associations
CHBA Atlantic
Provincial Departments of Labour (for outreach funding)</t>
  </si>
  <si>
    <t>Industry groups</t>
  </si>
  <si>
    <t>Provincial Government, Industry Associations</t>
  </si>
  <si>
    <t>Attendance at OSC events
Surveys on workforce perception of OSC
Increased modular adoption</t>
  </si>
  <si>
    <t>Regional, provincial</t>
  </si>
  <si>
    <t>Identification of industry professionals to host events
Event planning</t>
  </si>
  <si>
    <t>Workforce resistance to OSC due to lack of familiarity, fear of job loss, or cultural hesitation toward new methods.</t>
  </si>
  <si>
    <t>Host OSC industry events (tours, seminars, etc.) targeting skilled trades to highlight OSC and associated benefits.</t>
  </si>
  <si>
    <t>WD16</t>
  </si>
  <si>
    <t>Provincial Departments of Housing &amp; Communications
CHBA Atlantic / CMHC / Build Canada Homes
Manufacturers</t>
  </si>
  <si>
    <t>Industry groups, provincial government, federal governement, manufacturers</t>
  </si>
  <si>
    <t>Public awareness metrics (survey data)
Number of facility open houses
Participation in outreach</t>
  </si>
  <si>
    <t>National, regional, provincial</t>
  </si>
  <si>
    <t>Marketing strategy developed
Local case studies collected
Cooperation from manufacturers</t>
  </si>
  <si>
    <t>Low awareness and misconceptions about OSC quality, aesthetics, and durability.</t>
  </si>
  <si>
    <t>Create a docuseries, launch an OSC awareness campaign, develop industry-wide marketing, and require outreach from publicly funded companies.</t>
  </si>
  <si>
    <t>WD17</t>
  </si>
  <si>
    <t>Provincial Construction Associations
Trade schools/colleges
Modular manufacturers
Provincial Departments of Labour</t>
  </si>
  <si>
    <t>Industry groups, trades schools/colleges, manufacturers</t>
  </si>
  <si>
    <t>Industry Associations, Industry Associations, Manufacturers, Academic/Training Institutions</t>
  </si>
  <si>
    <t>Number of OSC events held
Number of sponsorships awarded and recipient career paths
Training integration into programs</t>
  </si>
  <si>
    <t>Regional, provincial, maybe national</t>
  </si>
  <si>
    <t>Event planning and secured funding for sponsorships</t>
  </si>
  <si>
    <t>Limited promotion of modular construction within the industry and workforce.</t>
  </si>
  <si>
    <t>Work with trade schools and associations to host OSC events, sponsor trades, and integrate OSC into existing programs.</t>
  </si>
  <si>
    <t>WD18</t>
  </si>
  <si>
    <t>Workforce Retention &amp; Recruitment</t>
  </si>
  <si>
    <t>Provincial Housing Departments
Employment and Social Development Canada (ESDC)
Modular manufacturers</t>
  </si>
  <si>
    <t>Provincial Government, Manufacturers, Federal Government, Industry Associations</t>
  </si>
  <si>
    <t>Worker retention rates
Housing uptake
Employment stability metrics</t>
  </si>
  <si>
    <t xml:space="preserve">Local, regional </t>
  </si>
  <si>
    <t>Policy approval for housing subsidies
Government purchasing agreements finalized</t>
  </si>
  <si>
    <t>Workforce retention challenges due to high living costs, housing affordability, and job security concerns in the construction sector.</t>
  </si>
  <si>
    <t>With a commitment to OSC through offtake agreements, OSC businesses can offer long-term year-round employment and should consider full health and dental and additional benefits (subsidized housing, healthy living allowance, etc.)</t>
  </si>
  <si>
    <t>WD19</t>
  </si>
  <si>
    <t>Provincial Departments of Labour &amp; Advanced Education
Federal Women and Gender Equality Canada (WAGE)
Trade schools/colleges
Modular manufacturers</t>
  </si>
  <si>
    <t>Municipal, provincial, federal governments, manufacturers, trades schools/colleges</t>
  </si>
  <si>
    <t>Municipal Government, Provincial Government, Academic/Training Institutions, Manufacturers, Federal Government, Indigenous &amp; Community Organizations</t>
  </si>
  <si>
    <t>Scholarship uptake
Mentorship participation
Diversity metrics in workforce</t>
  </si>
  <si>
    <t>Funding approval for scholarships
Mentorship program structure</t>
  </si>
  <si>
    <t>Difficulty attracting youth, women, diverse groups, and newcomers to construction trades.</t>
  </si>
  <si>
    <t>Highlight the benefits of OSC company employment (year-round shift work) and support with bursaries, scholarships, mentorships, and DEI training requirements.</t>
  </si>
  <si>
    <t>WD20</t>
  </si>
  <si>
    <t>NB Department of Post-Secondary Education, Training, and Labour (PETL)
Wolastoqey and Mi'kmaq business organizations
NBCC and training institutions
Industry associations</t>
  </si>
  <si>
    <t>Provincial Government, Federal Government, Academic/Training Institutions, Indigenous &amp; Community Organizations</t>
  </si>
  <si>
    <t>Number of Indigenous-owned businesses supported
DEI training completion
Workforce participation rates</t>
  </si>
  <si>
    <t>Funding and program approval
DEI curriculum developed</t>
  </si>
  <si>
    <t>Culturally inappropriate or unwelcoming workplaces limit participation from Indigenous peoples and underrepresented groups.</t>
  </si>
  <si>
    <t>Work with Indigenous communities to identify initiatives to overcome this barrier. </t>
  </si>
  <si>
    <t>Pending</t>
  </si>
  <si>
    <t>In progress</t>
  </si>
  <si>
    <t>Complete/ In action</t>
  </si>
  <si>
    <t>-</t>
  </si>
  <si>
    <t>Initiative</t>
  </si>
  <si>
    <t xml:space="preserve">This is a sample metric note. </t>
  </si>
  <si>
    <t>Metric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</si>
</sst>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2"/>
      <color theme="1"/>
      <name val="Aptos"/>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medium">
        <color indexed="64"/>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2" xfId="0" applyFont="1" applyBorder="1" applyAlignment="1">
      <alignment vertical="center" wrapText="1"/>
    </xf>
    <xf numFmtId="0" fontId="1" fillId="0" borderId="3" xfId="0" applyFont="1" applyBorder="1" applyAlignment="1">
      <alignment horizontal="center" vertical="top"/>
    </xf>
    <xf numFmtId="0" fontId="1" fillId="2" borderId="4" xfId="0" applyFont="1" applyFill="1" applyBorder="1" applyAlignment="1">
      <alignment horizontal="center" vertical="top"/>
    </xf>
    <xf numFmtId="0" fontId="0" fillId="3" borderId="4" xfId="0" applyFill="1" applyBorder="1"/>
    <xf numFmtId="0" fontId="2" fillId="0" borderId="5"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7"/>
  <sheetViews>
    <sheetView tabSelected="1" topLeftCell="K1" zoomScale="53" zoomScaleNormal="70" workbookViewId="0">
      <pane ySplit="1" topLeftCell="A2" activePane="bottomLeft" state="frozen"/>
      <selection pane="bottomLeft" activeCell="X12" sqref="X12"/>
    </sheetView>
  </sheetViews>
  <sheetFormatPr defaultRowHeight="14.5" x14ac:dyDescent="0.35"/>
  <cols>
    <col min="1" max="1" width="14" bestFit="1" customWidth="1"/>
    <col min="2" max="2" width="11.81640625" bestFit="1" customWidth="1"/>
    <col min="3" max="3" width="17.54296875" bestFit="1" customWidth="1"/>
    <col min="4" max="4" width="23.1796875" bestFit="1" customWidth="1"/>
    <col min="5" max="5" width="11.54296875" hidden="1" customWidth="1"/>
    <col min="6" max="6" width="17.26953125" hidden="1" customWidth="1"/>
    <col min="7" max="7" width="40.1796875" bestFit="1" customWidth="1"/>
    <col min="8" max="8" width="22.54296875" bestFit="1" customWidth="1"/>
    <col min="9" max="9" width="28.1796875" hidden="1" customWidth="1"/>
    <col min="10" max="10" width="21.26953125" hidden="1" customWidth="1"/>
    <col min="11" max="11" width="9.81640625" customWidth="1"/>
    <col min="12" max="12" width="30" bestFit="1" customWidth="1"/>
    <col min="13" max="13" width="30.81640625" hidden="1" customWidth="1"/>
    <col min="14" max="14" width="23.54296875" hidden="1" customWidth="1"/>
    <col min="15" max="15" width="24.1796875" hidden="1" customWidth="1"/>
    <col min="16" max="16" width="33.453125" hidden="1" customWidth="1"/>
    <col min="17" max="17" width="136.453125" style="6" customWidth="1"/>
    <col min="18" max="19" width="13" customWidth="1"/>
    <col min="20" max="20" width="13.1796875" customWidth="1"/>
    <col min="21" max="21" width="11.453125" customWidth="1"/>
    <col min="22" max="22" width="26.453125" customWidth="1"/>
  </cols>
  <sheetData>
    <row r="1" spans="1:23" ht="15"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15</v>
      </c>
      <c r="Q1" s="5" t="s">
        <v>728</v>
      </c>
      <c r="R1" s="3" t="s">
        <v>16</v>
      </c>
      <c r="S1" s="3" t="s">
        <v>17</v>
      </c>
      <c r="T1" s="3" t="s">
        <v>18</v>
      </c>
      <c r="U1" s="3" t="s">
        <v>19</v>
      </c>
      <c r="V1" s="3" t="s">
        <v>563</v>
      </c>
      <c r="W1" s="7" t="s">
        <v>730</v>
      </c>
    </row>
    <row r="2" spans="1:23" ht="15" customHeight="1" x14ac:dyDescent="0.35">
      <c r="A2" t="s">
        <v>20</v>
      </c>
      <c r="B2" t="s">
        <v>21</v>
      </c>
      <c r="C2" t="s">
        <v>22</v>
      </c>
      <c r="D2" t="s">
        <v>23</v>
      </c>
      <c r="E2" t="s">
        <v>24</v>
      </c>
      <c r="F2" t="s">
        <v>25</v>
      </c>
      <c r="G2" t="s">
        <v>26</v>
      </c>
      <c r="H2">
        <v>2026</v>
      </c>
      <c r="I2" t="s">
        <v>27</v>
      </c>
      <c r="J2">
        <v>8</v>
      </c>
      <c r="K2" t="s">
        <v>28</v>
      </c>
      <c r="L2" t="s">
        <v>29</v>
      </c>
      <c r="M2" t="s">
        <v>30</v>
      </c>
      <c r="N2" t="s">
        <v>31</v>
      </c>
      <c r="O2">
        <v>1</v>
      </c>
      <c r="P2" t="s">
        <v>32</v>
      </c>
      <c r="Q2" s="6" t="s">
        <v>33</v>
      </c>
      <c r="R2" t="str">
        <f>IF(ISNUMBER(SEARCH("Provincial",$L2)),"Pending","-")</f>
        <v>-</v>
      </c>
      <c r="S2" t="str">
        <f>IF(ISNUMBER(SEARCH("Provincial",$L2)),"Pending","-")</f>
        <v>-</v>
      </c>
      <c r="T2" t="str">
        <f>IF(ISNUMBER(SEARCH("Provincial",$L2)),"Pending","-")</f>
        <v>-</v>
      </c>
      <c r="U2" t="str">
        <f>IF(ISNUMBER(SEARCH("Provincial",$L2)),"Pending","-")</f>
        <v>-</v>
      </c>
      <c r="V2" t="s">
        <v>725</v>
      </c>
      <c r="W2" t="s">
        <v>729</v>
      </c>
    </row>
    <row r="3" spans="1:23" ht="15" customHeight="1" x14ac:dyDescent="0.35">
      <c r="A3" t="s">
        <v>34</v>
      </c>
      <c r="B3" t="s">
        <v>21</v>
      </c>
      <c r="C3" t="s">
        <v>22</v>
      </c>
      <c r="D3" t="s">
        <v>23</v>
      </c>
      <c r="E3" t="s">
        <v>24</v>
      </c>
      <c r="F3" t="s">
        <v>35</v>
      </c>
      <c r="G3" t="s">
        <v>36</v>
      </c>
      <c r="H3">
        <v>2026</v>
      </c>
      <c r="I3" t="s">
        <v>27</v>
      </c>
      <c r="J3">
        <v>8</v>
      </c>
      <c r="K3" t="s">
        <v>37</v>
      </c>
      <c r="L3" t="s">
        <v>29</v>
      </c>
      <c r="M3" t="s">
        <v>38</v>
      </c>
      <c r="N3" t="s">
        <v>31</v>
      </c>
      <c r="O3">
        <v>2</v>
      </c>
      <c r="P3" t="s">
        <v>39</v>
      </c>
      <c r="Q3" s="6" t="s">
        <v>40</v>
      </c>
      <c r="R3" t="str">
        <f t="shared" ref="R3:T66" si="0">IF(ISNUMBER(SEARCH("Provincial",$L3)),"Pending","-")</f>
        <v>-</v>
      </c>
      <c r="S3" t="str">
        <f t="shared" si="0"/>
        <v>-</v>
      </c>
      <c r="T3" t="str">
        <f>IF(ISNUMBER(SEARCH("Provincial",$L3)),"Pending","-")</f>
        <v>-</v>
      </c>
      <c r="U3" t="str">
        <f t="shared" ref="U3:U66" si="1">IF(ISNUMBER(SEARCH("Provincial",$L3)),"Pending","-")</f>
        <v>-</v>
      </c>
      <c r="V3" t="s">
        <v>726</v>
      </c>
    </row>
    <row r="4" spans="1:23" ht="15" customHeight="1" x14ac:dyDescent="0.35">
      <c r="A4" t="s">
        <v>41</v>
      </c>
      <c r="B4" t="s">
        <v>21</v>
      </c>
      <c r="C4" t="s">
        <v>22</v>
      </c>
      <c r="D4" t="s">
        <v>23</v>
      </c>
      <c r="E4" t="s">
        <v>42</v>
      </c>
      <c r="F4" t="s">
        <v>25</v>
      </c>
      <c r="G4" t="s">
        <v>26</v>
      </c>
      <c r="H4">
        <v>2026</v>
      </c>
      <c r="I4" t="s">
        <v>27</v>
      </c>
      <c r="J4">
        <v>9</v>
      </c>
      <c r="K4" t="s">
        <v>43</v>
      </c>
      <c r="L4" t="s">
        <v>29</v>
      </c>
      <c r="M4" t="s">
        <v>44</v>
      </c>
      <c r="N4" t="s">
        <v>31</v>
      </c>
      <c r="O4">
        <v>3</v>
      </c>
      <c r="P4" t="s">
        <v>45</v>
      </c>
      <c r="Q4" s="6" t="s">
        <v>46</v>
      </c>
      <c r="R4" t="str">
        <f t="shared" si="0"/>
        <v>-</v>
      </c>
      <c r="S4" t="str">
        <f t="shared" si="0"/>
        <v>-</v>
      </c>
      <c r="T4" t="str">
        <f t="shared" si="0"/>
        <v>-</v>
      </c>
      <c r="U4" t="str">
        <f t="shared" si="1"/>
        <v>-</v>
      </c>
      <c r="V4" t="str">
        <f t="shared" ref="V4:V66" si="2">IF(ISNUMBER(SEARCH("Regional",L4)),"Pending","-")</f>
        <v>Pending</v>
      </c>
    </row>
    <row r="5" spans="1:23" ht="15" customHeight="1" x14ac:dyDescent="0.35">
      <c r="A5" t="s">
        <v>47</v>
      </c>
      <c r="B5" t="s">
        <v>21</v>
      </c>
      <c r="C5" t="s">
        <v>22</v>
      </c>
      <c r="D5" t="s">
        <v>48</v>
      </c>
      <c r="E5" t="s">
        <v>49</v>
      </c>
      <c r="F5" t="s">
        <v>50</v>
      </c>
      <c r="G5" t="s">
        <v>36</v>
      </c>
      <c r="H5">
        <v>2026</v>
      </c>
      <c r="I5" t="s">
        <v>27</v>
      </c>
      <c r="J5">
        <v>7</v>
      </c>
      <c r="K5" t="s">
        <v>51</v>
      </c>
      <c r="L5" t="s">
        <v>52</v>
      </c>
      <c r="M5" t="s">
        <v>53</v>
      </c>
      <c r="N5" t="s">
        <v>31</v>
      </c>
      <c r="O5">
        <v>4</v>
      </c>
      <c r="P5" t="s">
        <v>54</v>
      </c>
      <c r="Q5" s="6" t="s">
        <v>55</v>
      </c>
      <c r="R5" t="str">
        <f t="shared" si="0"/>
        <v>Pending</v>
      </c>
      <c r="S5" t="str">
        <f t="shared" si="0"/>
        <v>Pending</v>
      </c>
      <c r="T5" t="str">
        <f t="shared" si="0"/>
        <v>Pending</v>
      </c>
      <c r="U5" t="str">
        <f t="shared" si="1"/>
        <v>Pending</v>
      </c>
      <c r="V5" t="str">
        <f t="shared" si="2"/>
        <v>-</v>
      </c>
    </row>
    <row r="6" spans="1:23" ht="15" customHeight="1" x14ac:dyDescent="0.35">
      <c r="A6" t="s">
        <v>56</v>
      </c>
      <c r="B6" t="s">
        <v>21</v>
      </c>
      <c r="C6" t="s">
        <v>57</v>
      </c>
      <c r="D6" t="s">
        <v>23</v>
      </c>
      <c r="E6" t="s">
        <v>58</v>
      </c>
      <c r="F6" t="s">
        <v>59</v>
      </c>
      <c r="G6" t="s">
        <v>60</v>
      </c>
      <c r="H6">
        <v>2026</v>
      </c>
      <c r="I6" t="s">
        <v>27</v>
      </c>
      <c r="J6">
        <v>9</v>
      </c>
      <c r="K6" t="s">
        <v>61</v>
      </c>
      <c r="L6" t="s">
        <v>29</v>
      </c>
      <c r="M6" t="s">
        <v>62</v>
      </c>
      <c r="N6" t="s">
        <v>31</v>
      </c>
      <c r="O6">
        <v>5</v>
      </c>
      <c r="P6" t="s">
        <v>63</v>
      </c>
      <c r="Q6" s="6" t="s">
        <v>64</v>
      </c>
      <c r="R6" t="str">
        <f t="shared" si="0"/>
        <v>-</v>
      </c>
      <c r="S6" t="str">
        <f t="shared" si="0"/>
        <v>-</v>
      </c>
      <c r="T6" t="str">
        <f t="shared" si="0"/>
        <v>-</v>
      </c>
      <c r="U6" t="str">
        <f t="shared" si="1"/>
        <v>-</v>
      </c>
      <c r="V6" t="str">
        <f t="shared" si="2"/>
        <v>Pending</v>
      </c>
    </row>
    <row r="7" spans="1:23" ht="15" customHeight="1" x14ac:dyDescent="0.35">
      <c r="A7" t="s">
        <v>65</v>
      </c>
      <c r="B7" t="s">
        <v>21</v>
      </c>
      <c r="C7" t="s">
        <v>57</v>
      </c>
      <c r="D7" t="s">
        <v>23</v>
      </c>
      <c r="E7" t="s">
        <v>42</v>
      </c>
      <c r="F7" t="s">
        <v>66</v>
      </c>
      <c r="G7" t="s">
        <v>67</v>
      </c>
      <c r="H7" t="s">
        <v>68</v>
      </c>
      <c r="I7" t="s">
        <v>69</v>
      </c>
      <c r="J7">
        <v>8</v>
      </c>
      <c r="K7" t="s">
        <v>70</v>
      </c>
      <c r="L7" t="s">
        <v>29</v>
      </c>
      <c r="M7" t="s">
        <v>71</v>
      </c>
      <c r="N7" t="s">
        <v>31</v>
      </c>
      <c r="O7">
        <v>6</v>
      </c>
      <c r="P7" t="s">
        <v>72</v>
      </c>
      <c r="Q7" s="6" t="s">
        <v>73</v>
      </c>
      <c r="R7" t="str">
        <f t="shared" si="0"/>
        <v>-</v>
      </c>
      <c r="S7" t="str">
        <f t="shared" si="0"/>
        <v>-</v>
      </c>
      <c r="T7" t="str">
        <f t="shared" si="0"/>
        <v>-</v>
      </c>
      <c r="U7" t="str">
        <f t="shared" si="1"/>
        <v>-</v>
      </c>
      <c r="V7" t="str">
        <f t="shared" si="2"/>
        <v>Pending</v>
      </c>
    </row>
    <row r="8" spans="1:23" ht="15" customHeight="1" x14ac:dyDescent="0.35">
      <c r="A8" t="s">
        <v>74</v>
      </c>
      <c r="B8" t="s">
        <v>21</v>
      </c>
      <c r="C8" t="s">
        <v>57</v>
      </c>
      <c r="D8" t="s">
        <v>75</v>
      </c>
      <c r="E8" t="s">
        <v>76</v>
      </c>
      <c r="F8" t="s">
        <v>77</v>
      </c>
      <c r="G8" t="s">
        <v>78</v>
      </c>
      <c r="H8">
        <v>2027</v>
      </c>
      <c r="I8" t="s">
        <v>69</v>
      </c>
      <c r="J8">
        <v>9</v>
      </c>
      <c r="K8" t="s">
        <v>79</v>
      </c>
      <c r="L8" t="s">
        <v>52</v>
      </c>
      <c r="M8" t="s">
        <v>80</v>
      </c>
      <c r="N8" t="s">
        <v>31</v>
      </c>
      <c r="O8">
        <v>7</v>
      </c>
      <c r="P8" t="s">
        <v>81</v>
      </c>
      <c r="Q8" s="6" t="s">
        <v>82</v>
      </c>
      <c r="R8" t="str">
        <f t="shared" si="0"/>
        <v>Pending</v>
      </c>
      <c r="S8" t="str">
        <f t="shared" si="0"/>
        <v>Pending</v>
      </c>
      <c r="T8" t="str">
        <f t="shared" si="0"/>
        <v>Pending</v>
      </c>
      <c r="U8" t="str">
        <f t="shared" si="1"/>
        <v>Pending</v>
      </c>
      <c r="V8" t="str">
        <f t="shared" si="2"/>
        <v>-</v>
      </c>
    </row>
    <row r="9" spans="1:23" ht="15" customHeight="1" x14ac:dyDescent="0.35">
      <c r="A9" t="s">
        <v>83</v>
      </c>
      <c r="B9" t="s">
        <v>21</v>
      </c>
      <c r="C9" t="s">
        <v>57</v>
      </c>
      <c r="D9" t="s">
        <v>84</v>
      </c>
      <c r="E9" t="s">
        <v>85</v>
      </c>
      <c r="F9" t="s">
        <v>86</v>
      </c>
      <c r="G9" t="s">
        <v>87</v>
      </c>
      <c r="H9">
        <v>2026</v>
      </c>
      <c r="I9" t="s">
        <v>69</v>
      </c>
      <c r="J9">
        <v>8</v>
      </c>
      <c r="K9" t="s">
        <v>88</v>
      </c>
      <c r="L9" t="s">
        <v>52</v>
      </c>
      <c r="M9" t="s">
        <v>89</v>
      </c>
      <c r="N9" t="s">
        <v>31</v>
      </c>
      <c r="O9">
        <v>8</v>
      </c>
      <c r="P9" t="s">
        <v>90</v>
      </c>
      <c r="Q9" s="6" t="s">
        <v>91</v>
      </c>
      <c r="R9" t="str">
        <f t="shared" si="0"/>
        <v>Pending</v>
      </c>
      <c r="S9" t="str">
        <f t="shared" si="0"/>
        <v>Pending</v>
      </c>
      <c r="T9" t="str">
        <f t="shared" si="0"/>
        <v>Pending</v>
      </c>
      <c r="U9" t="str">
        <f t="shared" si="1"/>
        <v>Pending</v>
      </c>
      <c r="V9" t="str">
        <f t="shared" si="2"/>
        <v>-</v>
      </c>
    </row>
    <row r="10" spans="1:23" ht="15" customHeight="1" x14ac:dyDescent="0.35">
      <c r="A10" t="s">
        <v>92</v>
      </c>
      <c r="B10" t="s">
        <v>21</v>
      </c>
      <c r="C10" t="s">
        <v>93</v>
      </c>
      <c r="D10" t="s">
        <v>23</v>
      </c>
      <c r="E10" t="s">
        <v>94</v>
      </c>
      <c r="F10" t="s">
        <v>95</v>
      </c>
      <c r="G10" t="s">
        <v>96</v>
      </c>
      <c r="H10">
        <v>2026</v>
      </c>
      <c r="I10" t="s">
        <v>69</v>
      </c>
      <c r="J10">
        <v>9</v>
      </c>
      <c r="K10" t="s">
        <v>97</v>
      </c>
      <c r="L10" t="s">
        <v>29</v>
      </c>
      <c r="M10" t="s">
        <v>98</v>
      </c>
      <c r="N10" t="s">
        <v>31</v>
      </c>
      <c r="O10">
        <v>9</v>
      </c>
      <c r="P10" t="s">
        <v>99</v>
      </c>
      <c r="Q10" s="6" t="s">
        <v>100</v>
      </c>
      <c r="R10" t="str">
        <f t="shared" si="0"/>
        <v>-</v>
      </c>
      <c r="S10" t="str">
        <f t="shared" si="0"/>
        <v>-</v>
      </c>
      <c r="T10" t="str">
        <f t="shared" si="0"/>
        <v>-</v>
      </c>
      <c r="U10" t="str">
        <f t="shared" si="1"/>
        <v>-</v>
      </c>
      <c r="V10" t="str">
        <f t="shared" si="2"/>
        <v>Pending</v>
      </c>
    </row>
    <row r="11" spans="1:23" ht="15" customHeight="1" x14ac:dyDescent="0.35">
      <c r="A11" t="s">
        <v>101</v>
      </c>
      <c r="B11" t="s">
        <v>21</v>
      </c>
      <c r="C11" t="s">
        <v>93</v>
      </c>
      <c r="D11" t="s">
        <v>23</v>
      </c>
      <c r="E11" t="s">
        <v>102</v>
      </c>
      <c r="F11" t="s">
        <v>103</v>
      </c>
      <c r="G11" t="s">
        <v>104</v>
      </c>
      <c r="H11">
        <v>2026</v>
      </c>
      <c r="I11" t="s">
        <v>27</v>
      </c>
      <c r="J11">
        <v>7</v>
      </c>
      <c r="K11" t="s">
        <v>105</v>
      </c>
      <c r="L11" t="s">
        <v>29</v>
      </c>
      <c r="M11" t="s">
        <v>106</v>
      </c>
      <c r="N11" t="s">
        <v>31</v>
      </c>
      <c r="O11">
        <v>10</v>
      </c>
      <c r="P11" t="s">
        <v>107</v>
      </c>
      <c r="Q11" s="6" t="s">
        <v>108</v>
      </c>
      <c r="R11" t="str">
        <f t="shared" si="0"/>
        <v>-</v>
      </c>
      <c r="S11" t="str">
        <f t="shared" si="0"/>
        <v>-</v>
      </c>
      <c r="T11" t="str">
        <f t="shared" si="0"/>
        <v>-</v>
      </c>
      <c r="U11" t="str">
        <f t="shared" si="1"/>
        <v>-</v>
      </c>
      <c r="V11" t="str">
        <f t="shared" si="2"/>
        <v>Pending</v>
      </c>
    </row>
    <row r="12" spans="1:23" ht="15" customHeight="1" x14ac:dyDescent="0.35">
      <c r="A12" t="s">
        <v>109</v>
      </c>
      <c r="B12" t="s">
        <v>21</v>
      </c>
      <c r="C12" t="s">
        <v>93</v>
      </c>
      <c r="D12" t="s">
        <v>23</v>
      </c>
      <c r="E12" t="s">
        <v>94</v>
      </c>
      <c r="F12" t="s">
        <v>110</v>
      </c>
      <c r="G12" t="s">
        <v>111</v>
      </c>
      <c r="H12">
        <v>2026</v>
      </c>
      <c r="I12" t="s">
        <v>27</v>
      </c>
      <c r="J12">
        <v>8</v>
      </c>
      <c r="K12" t="s">
        <v>112</v>
      </c>
      <c r="L12" t="s">
        <v>29</v>
      </c>
      <c r="M12" t="s">
        <v>113</v>
      </c>
      <c r="N12" t="s">
        <v>31</v>
      </c>
      <c r="O12">
        <v>11</v>
      </c>
      <c r="P12" t="s">
        <v>114</v>
      </c>
      <c r="Q12" s="6" t="s">
        <v>115</v>
      </c>
      <c r="R12" t="str">
        <f t="shared" si="0"/>
        <v>-</v>
      </c>
      <c r="S12" t="str">
        <f t="shared" si="0"/>
        <v>-</v>
      </c>
      <c r="T12" t="str">
        <f t="shared" si="0"/>
        <v>-</v>
      </c>
      <c r="U12" t="str">
        <f t="shared" si="1"/>
        <v>-</v>
      </c>
      <c r="V12" t="str">
        <f t="shared" si="2"/>
        <v>Pending</v>
      </c>
    </row>
    <row r="13" spans="1:23" ht="15" customHeight="1" x14ac:dyDescent="0.35">
      <c r="A13" t="s">
        <v>116</v>
      </c>
      <c r="B13" t="s">
        <v>21</v>
      </c>
      <c r="C13" t="s">
        <v>93</v>
      </c>
      <c r="D13" t="s">
        <v>23</v>
      </c>
      <c r="E13" s="2" t="s">
        <v>117</v>
      </c>
      <c r="F13" t="s">
        <v>118</v>
      </c>
      <c r="G13" t="s">
        <v>119</v>
      </c>
      <c r="H13">
        <v>2026</v>
      </c>
      <c r="I13" t="s">
        <v>69</v>
      </c>
      <c r="J13">
        <v>9</v>
      </c>
      <c r="K13" t="s">
        <v>120</v>
      </c>
      <c r="L13" t="s">
        <v>29</v>
      </c>
      <c r="M13" t="s">
        <v>121</v>
      </c>
      <c r="N13" t="s">
        <v>31</v>
      </c>
      <c r="O13">
        <v>12</v>
      </c>
      <c r="P13" t="s">
        <v>122</v>
      </c>
      <c r="Q13" s="6" t="s">
        <v>123</v>
      </c>
      <c r="R13" t="str">
        <f t="shared" si="0"/>
        <v>-</v>
      </c>
      <c r="S13" t="str">
        <f t="shared" si="0"/>
        <v>-</v>
      </c>
      <c r="T13" t="str">
        <f t="shared" si="0"/>
        <v>-</v>
      </c>
      <c r="U13" t="str">
        <f t="shared" si="1"/>
        <v>-</v>
      </c>
      <c r="V13" t="str">
        <f t="shared" si="2"/>
        <v>Pending</v>
      </c>
    </row>
    <row r="14" spans="1:23" ht="15" customHeight="1" x14ac:dyDescent="0.35">
      <c r="A14" t="s">
        <v>124</v>
      </c>
      <c r="B14" t="s">
        <v>21</v>
      </c>
      <c r="C14" t="s">
        <v>125</v>
      </c>
      <c r="D14" t="s">
        <v>23</v>
      </c>
      <c r="E14" t="s">
        <v>126</v>
      </c>
      <c r="F14" t="s">
        <v>127</v>
      </c>
      <c r="G14" t="s">
        <v>128</v>
      </c>
      <c r="H14">
        <v>2026</v>
      </c>
      <c r="I14" t="s">
        <v>69</v>
      </c>
      <c r="J14">
        <v>9</v>
      </c>
      <c r="K14" t="s">
        <v>129</v>
      </c>
      <c r="L14" t="s">
        <v>29</v>
      </c>
      <c r="M14" t="s">
        <v>130</v>
      </c>
      <c r="N14" t="s">
        <v>31</v>
      </c>
      <c r="O14">
        <v>13</v>
      </c>
      <c r="P14" t="s">
        <v>131</v>
      </c>
      <c r="Q14" s="6" t="s">
        <v>132</v>
      </c>
      <c r="R14" t="str">
        <f t="shared" si="0"/>
        <v>-</v>
      </c>
      <c r="S14" t="str">
        <f t="shared" si="0"/>
        <v>-</v>
      </c>
      <c r="T14" t="str">
        <f t="shared" si="0"/>
        <v>-</v>
      </c>
      <c r="U14" t="str">
        <f t="shared" si="1"/>
        <v>-</v>
      </c>
      <c r="V14" t="str">
        <f t="shared" si="2"/>
        <v>Pending</v>
      </c>
    </row>
    <row r="15" spans="1:23" ht="15" customHeight="1" x14ac:dyDescent="0.35">
      <c r="A15" t="s">
        <v>133</v>
      </c>
      <c r="B15" t="s">
        <v>21</v>
      </c>
      <c r="C15" t="s">
        <v>125</v>
      </c>
      <c r="D15" t="s">
        <v>23</v>
      </c>
      <c r="E15" t="s">
        <v>134</v>
      </c>
      <c r="F15" t="s">
        <v>135</v>
      </c>
      <c r="G15" t="s">
        <v>136</v>
      </c>
      <c r="H15">
        <v>2026</v>
      </c>
      <c r="I15" t="s">
        <v>69</v>
      </c>
      <c r="J15">
        <v>8</v>
      </c>
      <c r="K15" t="s">
        <v>137</v>
      </c>
      <c r="L15" t="s">
        <v>29</v>
      </c>
      <c r="M15" t="s">
        <v>138</v>
      </c>
      <c r="N15" t="s">
        <v>31</v>
      </c>
      <c r="O15">
        <v>14</v>
      </c>
      <c r="P15" t="s">
        <v>139</v>
      </c>
      <c r="Q15" s="6" t="s">
        <v>132</v>
      </c>
      <c r="R15" t="str">
        <f t="shared" si="0"/>
        <v>-</v>
      </c>
      <c r="S15" t="str">
        <f t="shared" si="0"/>
        <v>-</v>
      </c>
      <c r="T15" t="str">
        <f t="shared" si="0"/>
        <v>-</v>
      </c>
      <c r="U15" t="str">
        <f t="shared" si="1"/>
        <v>-</v>
      </c>
      <c r="V15" t="str">
        <f t="shared" si="2"/>
        <v>Pending</v>
      </c>
    </row>
    <row r="16" spans="1:23" ht="15" customHeight="1" x14ac:dyDescent="0.35">
      <c r="A16" t="s">
        <v>140</v>
      </c>
      <c r="B16" t="s">
        <v>21</v>
      </c>
      <c r="C16" t="s">
        <v>125</v>
      </c>
      <c r="D16" t="s">
        <v>23</v>
      </c>
      <c r="E16" t="s">
        <v>141</v>
      </c>
      <c r="F16" t="s">
        <v>135</v>
      </c>
      <c r="G16" t="s">
        <v>67</v>
      </c>
      <c r="H16">
        <v>2026</v>
      </c>
      <c r="I16" t="s">
        <v>69</v>
      </c>
      <c r="J16">
        <v>9</v>
      </c>
      <c r="K16" t="s">
        <v>142</v>
      </c>
      <c r="L16" t="s">
        <v>29</v>
      </c>
      <c r="M16" t="s">
        <v>138</v>
      </c>
      <c r="N16" t="s">
        <v>31</v>
      </c>
      <c r="O16">
        <v>15</v>
      </c>
      <c r="P16" t="s">
        <v>143</v>
      </c>
      <c r="Q16" s="6" t="s">
        <v>132</v>
      </c>
      <c r="R16" t="str">
        <f t="shared" si="0"/>
        <v>-</v>
      </c>
      <c r="S16" t="str">
        <f t="shared" si="0"/>
        <v>-</v>
      </c>
      <c r="T16" t="str">
        <f t="shared" si="0"/>
        <v>-</v>
      </c>
      <c r="U16" t="str">
        <f t="shared" si="1"/>
        <v>-</v>
      </c>
      <c r="V16" t="str">
        <f t="shared" si="2"/>
        <v>Pending</v>
      </c>
    </row>
    <row r="17" spans="1:22" ht="15" customHeight="1" x14ac:dyDescent="0.35">
      <c r="A17" t="s">
        <v>144</v>
      </c>
      <c r="B17" t="s">
        <v>21</v>
      </c>
      <c r="C17" t="s">
        <v>145</v>
      </c>
      <c r="D17" t="s">
        <v>23</v>
      </c>
      <c r="E17" t="s">
        <v>146</v>
      </c>
      <c r="F17" t="s">
        <v>147</v>
      </c>
      <c r="G17" t="s">
        <v>148</v>
      </c>
      <c r="H17">
        <v>2027</v>
      </c>
      <c r="I17" t="s">
        <v>69</v>
      </c>
      <c r="J17">
        <v>8</v>
      </c>
      <c r="K17" t="s">
        <v>149</v>
      </c>
      <c r="L17" t="s">
        <v>150</v>
      </c>
      <c r="M17" t="s">
        <v>151</v>
      </c>
      <c r="N17" t="s">
        <v>31</v>
      </c>
      <c r="O17">
        <v>16</v>
      </c>
      <c r="P17" t="s">
        <v>152</v>
      </c>
      <c r="Q17" s="6" t="s">
        <v>153</v>
      </c>
      <c r="R17" t="str">
        <f t="shared" si="0"/>
        <v>Pending</v>
      </c>
      <c r="S17" t="str">
        <f t="shared" si="0"/>
        <v>Pending</v>
      </c>
      <c r="T17" t="str">
        <f t="shared" si="0"/>
        <v>Pending</v>
      </c>
      <c r="U17" t="str">
        <f t="shared" si="1"/>
        <v>Pending</v>
      </c>
      <c r="V17" t="str">
        <f t="shared" si="2"/>
        <v>Pending</v>
      </c>
    </row>
    <row r="18" spans="1:22" ht="15" customHeight="1" x14ac:dyDescent="0.35">
      <c r="A18" t="s">
        <v>154</v>
      </c>
      <c r="B18" t="s">
        <v>21</v>
      </c>
      <c r="C18" t="s">
        <v>145</v>
      </c>
      <c r="D18" t="s">
        <v>23</v>
      </c>
      <c r="E18" t="s">
        <v>155</v>
      </c>
      <c r="F18" t="s">
        <v>156</v>
      </c>
      <c r="G18" t="s">
        <v>157</v>
      </c>
      <c r="H18">
        <v>2026</v>
      </c>
      <c r="I18" t="s">
        <v>69</v>
      </c>
      <c r="J18">
        <v>7</v>
      </c>
      <c r="K18" t="s">
        <v>158</v>
      </c>
      <c r="L18" t="s">
        <v>150</v>
      </c>
      <c r="M18" t="s">
        <v>159</v>
      </c>
      <c r="N18" t="s">
        <v>31</v>
      </c>
      <c r="O18">
        <v>17</v>
      </c>
      <c r="P18" t="s">
        <v>160</v>
      </c>
      <c r="Q18" s="6" t="s">
        <v>161</v>
      </c>
      <c r="R18" t="str">
        <f t="shared" si="0"/>
        <v>Pending</v>
      </c>
      <c r="S18" t="str">
        <f t="shared" si="0"/>
        <v>Pending</v>
      </c>
      <c r="T18" t="str">
        <f t="shared" si="0"/>
        <v>Pending</v>
      </c>
      <c r="U18" t="str">
        <f t="shared" si="1"/>
        <v>Pending</v>
      </c>
      <c r="V18" t="str">
        <f t="shared" si="2"/>
        <v>Pending</v>
      </c>
    </row>
    <row r="19" spans="1:22" ht="15" customHeight="1" x14ac:dyDescent="0.35">
      <c r="A19" t="s">
        <v>162</v>
      </c>
      <c r="B19" t="s">
        <v>163</v>
      </c>
      <c r="C19" t="s">
        <v>164</v>
      </c>
      <c r="D19" t="s">
        <v>23</v>
      </c>
      <c r="E19" t="s">
        <v>165</v>
      </c>
      <c r="F19" t="s">
        <v>166</v>
      </c>
      <c r="G19" t="s">
        <v>167</v>
      </c>
      <c r="H19">
        <v>2026</v>
      </c>
      <c r="I19" t="s">
        <v>27</v>
      </c>
      <c r="J19">
        <v>9</v>
      </c>
      <c r="K19" t="s">
        <v>168</v>
      </c>
      <c r="L19" t="s">
        <v>29</v>
      </c>
      <c r="M19" s="2" t="s">
        <v>169</v>
      </c>
      <c r="N19" t="s">
        <v>170</v>
      </c>
      <c r="O19">
        <v>1</v>
      </c>
      <c r="P19" t="s">
        <v>171</v>
      </c>
      <c r="Q19" s="6" t="s">
        <v>172</v>
      </c>
      <c r="R19" t="str">
        <f t="shared" si="0"/>
        <v>-</v>
      </c>
      <c r="S19" t="str">
        <f t="shared" si="0"/>
        <v>-</v>
      </c>
      <c r="T19" t="str">
        <f t="shared" si="0"/>
        <v>-</v>
      </c>
      <c r="U19" t="str">
        <f t="shared" si="1"/>
        <v>-</v>
      </c>
      <c r="V19" t="str">
        <f t="shared" si="2"/>
        <v>Pending</v>
      </c>
    </row>
    <row r="20" spans="1:22" ht="15" customHeight="1" x14ac:dyDescent="0.35">
      <c r="A20" t="s">
        <v>173</v>
      </c>
      <c r="B20" t="s">
        <v>163</v>
      </c>
      <c r="C20" t="s">
        <v>164</v>
      </c>
      <c r="D20" t="s">
        <v>23</v>
      </c>
      <c r="E20" t="s">
        <v>165</v>
      </c>
      <c r="F20" t="s">
        <v>174</v>
      </c>
      <c r="G20" t="s">
        <v>175</v>
      </c>
      <c r="H20">
        <v>2026</v>
      </c>
      <c r="I20" t="s">
        <v>27</v>
      </c>
      <c r="J20">
        <v>9</v>
      </c>
      <c r="K20" t="s">
        <v>176</v>
      </c>
      <c r="L20" t="s">
        <v>29</v>
      </c>
      <c r="M20" t="s">
        <v>177</v>
      </c>
      <c r="N20" t="s">
        <v>170</v>
      </c>
      <c r="O20">
        <v>2</v>
      </c>
      <c r="P20" t="s">
        <v>178</v>
      </c>
      <c r="Q20" s="6" t="s">
        <v>179</v>
      </c>
      <c r="R20" t="str">
        <f t="shared" si="0"/>
        <v>-</v>
      </c>
      <c r="S20" t="str">
        <f t="shared" si="0"/>
        <v>-</v>
      </c>
      <c r="T20" t="str">
        <f t="shared" si="0"/>
        <v>-</v>
      </c>
      <c r="U20" t="str">
        <f t="shared" si="1"/>
        <v>-</v>
      </c>
      <c r="V20" t="str">
        <f t="shared" si="2"/>
        <v>Pending</v>
      </c>
    </row>
    <row r="21" spans="1:22" ht="15" customHeight="1" x14ac:dyDescent="0.35">
      <c r="A21" t="s">
        <v>180</v>
      </c>
      <c r="B21" t="s">
        <v>163</v>
      </c>
      <c r="C21" t="s">
        <v>164</v>
      </c>
      <c r="D21" t="s">
        <v>23</v>
      </c>
      <c r="E21" t="s">
        <v>181</v>
      </c>
      <c r="F21" t="s">
        <v>182</v>
      </c>
      <c r="G21" t="s">
        <v>183</v>
      </c>
      <c r="H21">
        <v>2026</v>
      </c>
      <c r="I21" t="s">
        <v>27</v>
      </c>
      <c r="J21">
        <v>9</v>
      </c>
      <c r="K21" t="s">
        <v>184</v>
      </c>
      <c r="L21" t="s">
        <v>29</v>
      </c>
      <c r="M21" t="s">
        <v>185</v>
      </c>
      <c r="N21" t="s">
        <v>170</v>
      </c>
      <c r="O21">
        <v>3</v>
      </c>
      <c r="P21" t="s">
        <v>186</v>
      </c>
      <c r="Q21" s="6" t="s">
        <v>187</v>
      </c>
      <c r="R21" t="str">
        <f t="shared" si="0"/>
        <v>-</v>
      </c>
      <c r="S21" t="str">
        <f t="shared" si="0"/>
        <v>-</v>
      </c>
      <c r="T21" t="str">
        <f t="shared" si="0"/>
        <v>-</v>
      </c>
      <c r="U21" t="str">
        <f t="shared" si="1"/>
        <v>-</v>
      </c>
      <c r="V21" t="str">
        <f t="shared" si="2"/>
        <v>Pending</v>
      </c>
    </row>
    <row r="22" spans="1:22" ht="15" customHeight="1" x14ac:dyDescent="0.35">
      <c r="A22" t="s">
        <v>188</v>
      </c>
      <c r="B22" t="s">
        <v>163</v>
      </c>
      <c r="C22" t="s">
        <v>164</v>
      </c>
      <c r="D22" t="s">
        <v>189</v>
      </c>
      <c r="E22" t="s">
        <v>190</v>
      </c>
      <c r="F22" t="s">
        <v>191</v>
      </c>
      <c r="G22" t="s">
        <v>183</v>
      </c>
      <c r="H22">
        <v>2026</v>
      </c>
      <c r="I22" t="s">
        <v>27</v>
      </c>
      <c r="J22">
        <v>7</v>
      </c>
      <c r="K22" t="s">
        <v>192</v>
      </c>
      <c r="L22" t="s">
        <v>52</v>
      </c>
      <c r="M22" t="s">
        <v>193</v>
      </c>
      <c r="N22" t="s">
        <v>170</v>
      </c>
      <c r="O22">
        <v>4</v>
      </c>
      <c r="P22" t="s">
        <v>194</v>
      </c>
      <c r="Q22" s="6" t="s">
        <v>195</v>
      </c>
      <c r="R22" t="str">
        <f t="shared" si="0"/>
        <v>Pending</v>
      </c>
      <c r="S22" t="str">
        <f t="shared" si="0"/>
        <v>Pending</v>
      </c>
      <c r="T22" t="str">
        <f t="shared" si="0"/>
        <v>Pending</v>
      </c>
      <c r="U22" t="str">
        <f t="shared" si="1"/>
        <v>Pending</v>
      </c>
      <c r="V22" t="str">
        <f t="shared" si="2"/>
        <v>-</v>
      </c>
    </row>
    <row r="23" spans="1:22" ht="15" customHeight="1" x14ac:dyDescent="0.35">
      <c r="A23" t="s">
        <v>196</v>
      </c>
      <c r="B23" t="s">
        <v>163</v>
      </c>
      <c r="C23" t="s">
        <v>164</v>
      </c>
      <c r="D23" t="s">
        <v>48</v>
      </c>
      <c r="E23" t="s">
        <v>197</v>
      </c>
      <c r="F23" t="s">
        <v>198</v>
      </c>
      <c r="G23" t="s">
        <v>199</v>
      </c>
      <c r="H23">
        <v>2026</v>
      </c>
      <c r="I23" t="s">
        <v>69</v>
      </c>
      <c r="J23">
        <v>7</v>
      </c>
      <c r="K23" t="s">
        <v>200</v>
      </c>
      <c r="L23" t="s">
        <v>52</v>
      </c>
      <c r="M23" t="s">
        <v>201</v>
      </c>
      <c r="N23" t="s">
        <v>170</v>
      </c>
      <c r="O23">
        <v>5</v>
      </c>
      <c r="P23" t="s">
        <v>202</v>
      </c>
      <c r="Q23" s="6" t="s">
        <v>203</v>
      </c>
      <c r="R23" t="str">
        <f t="shared" si="0"/>
        <v>Pending</v>
      </c>
      <c r="S23" t="str">
        <f t="shared" si="0"/>
        <v>Pending</v>
      </c>
      <c r="T23" t="str">
        <f t="shared" si="0"/>
        <v>Pending</v>
      </c>
      <c r="U23" t="str">
        <f t="shared" si="1"/>
        <v>Pending</v>
      </c>
      <c r="V23" t="str">
        <f t="shared" si="2"/>
        <v>-</v>
      </c>
    </row>
    <row r="24" spans="1:22" ht="15" customHeight="1" x14ac:dyDescent="0.35">
      <c r="A24" t="s">
        <v>204</v>
      </c>
      <c r="B24" t="s">
        <v>163</v>
      </c>
      <c r="C24" t="s">
        <v>164</v>
      </c>
      <c r="D24" t="s">
        <v>75</v>
      </c>
      <c r="E24" t="s">
        <v>42</v>
      </c>
      <c r="F24" t="s">
        <v>205</v>
      </c>
      <c r="G24" t="s">
        <v>206</v>
      </c>
      <c r="H24" t="s">
        <v>68</v>
      </c>
      <c r="I24" t="s">
        <v>69</v>
      </c>
      <c r="J24">
        <v>8</v>
      </c>
      <c r="K24" t="s">
        <v>70</v>
      </c>
      <c r="L24" t="s">
        <v>29</v>
      </c>
      <c r="M24" t="s">
        <v>71</v>
      </c>
      <c r="N24" t="s">
        <v>170</v>
      </c>
      <c r="O24">
        <v>6</v>
      </c>
      <c r="P24" t="s">
        <v>207</v>
      </c>
      <c r="Q24" s="6" t="s">
        <v>208</v>
      </c>
      <c r="R24" t="str">
        <f t="shared" si="0"/>
        <v>-</v>
      </c>
      <c r="S24" t="str">
        <f t="shared" si="0"/>
        <v>-</v>
      </c>
      <c r="T24" t="str">
        <f t="shared" si="0"/>
        <v>-</v>
      </c>
      <c r="U24" t="str">
        <f t="shared" si="1"/>
        <v>-</v>
      </c>
      <c r="V24" t="str">
        <f t="shared" si="2"/>
        <v>Pending</v>
      </c>
    </row>
    <row r="25" spans="1:22" ht="15" customHeight="1" x14ac:dyDescent="0.35">
      <c r="A25" t="s">
        <v>209</v>
      </c>
      <c r="B25" t="s">
        <v>163</v>
      </c>
      <c r="C25" t="s">
        <v>210</v>
      </c>
      <c r="D25" t="s">
        <v>23</v>
      </c>
      <c r="E25" t="s">
        <v>211</v>
      </c>
      <c r="F25" t="s">
        <v>212</v>
      </c>
      <c r="G25" t="s">
        <v>213</v>
      </c>
      <c r="H25">
        <v>2026</v>
      </c>
      <c r="I25" t="s">
        <v>69</v>
      </c>
      <c r="J25">
        <v>9</v>
      </c>
      <c r="K25" t="s">
        <v>214</v>
      </c>
      <c r="L25" t="s">
        <v>29</v>
      </c>
      <c r="M25" t="s">
        <v>215</v>
      </c>
      <c r="N25" t="s">
        <v>170</v>
      </c>
      <c r="O25">
        <v>7</v>
      </c>
      <c r="P25" t="s">
        <v>216</v>
      </c>
      <c r="Q25" s="6" t="s">
        <v>217</v>
      </c>
      <c r="R25" t="str">
        <f t="shared" si="0"/>
        <v>-</v>
      </c>
      <c r="S25" t="str">
        <f t="shared" si="0"/>
        <v>-</v>
      </c>
      <c r="T25" t="str">
        <f t="shared" si="0"/>
        <v>-</v>
      </c>
      <c r="U25" t="str">
        <f t="shared" si="1"/>
        <v>-</v>
      </c>
      <c r="V25" t="str">
        <f t="shared" si="2"/>
        <v>Pending</v>
      </c>
    </row>
    <row r="26" spans="1:22" ht="15" customHeight="1" x14ac:dyDescent="0.35">
      <c r="A26" t="s">
        <v>218</v>
      </c>
      <c r="B26" t="s">
        <v>163</v>
      </c>
      <c r="C26" t="s">
        <v>210</v>
      </c>
      <c r="D26" t="s">
        <v>23</v>
      </c>
      <c r="E26" t="s">
        <v>211</v>
      </c>
      <c r="F26" t="s">
        <v>212</v>
      </c>
      <c r="G26" t="s">
        <v>213</v>
      </c>
      <c r="H26">
        <v>2026</v>
      </c>
      <c r="I26" t="s">
        <v>69</v>
      </c>
      <c r="J26">
        <v>9</v>
      </c>
      <c r="K26" t="s">
        <v>219</v>
      </c>
      <c r="L26" t="s">
        <v>29</v>
      </c>
      <c r="M26" t="s">
        <v>220</v>
      </c>
      <c r="N26" t="s">
        <v>170</v>
      </c>
      <c r="O26">
        <v>8</v>
      </c>
      <c r="P26" t="s">
        <v>221</v>
      </c>
      <c r="Q26" s="6" t="s">
        <v>222</v>
      </c>
      <c r="R26" t="str">
        <f t="shared" si="0"/>
        <v>-</v>
      </c>
      <c r="S26" t="str">
        <f t="shared" si="0"/>
        <v>-</v>
      </c>
      <c r="T26" t="str">
        <f t="shared" si="0"/>
        <v>-</v>
      </c>
      <c r="U26" t="str">
        <f t="shared" si="1"/>
        <v>-</v>
      </c>
      <c r="V26" t="str">
        <f t="shared" si="2"/>
        <v>Pending</v>
      </c>
    </row>
    <row r="27" spans="1:22" ht="15" customHeight="1" x14ac:dyDescent="0.35">
      <c r="A27" t="s">
        <v>223</v>
      </c>
      <c r="B27" t="s">
        <v>163</v>
      </c>
      <c r="C27" t="s">
        <v>210</v>
      </c>
      <c r="D27" t="s">
        <v>224</v>
      </c>
      <c r="E27" t="s">
        <v>225</v>
      </c>
      <c r="F27" t="s">
        <v>226</v>
      </c>
      <c r="G27" t="s">
        <v>227</v>
      </c>
      <c r="H27">
        <v>2026</v>
      </c>
      <c r="I27" t="s">
        <v>27</v>
      </c>
      <c r="J27">
        <v>9</v>
      </c>
      <c r="K27" t="s">
        <v>228</v>
      </c>
      <c r="L27" t="s">
        <v>52</v>
      </c>
      <c r="M27" t="s">
        <v>229</v>
      </c>
      <c r="N27" t="s">
        <v>170</v>
      </c>
      <c r="O27">
        <v>9</v>
      </c>
      <c r="P27" t="s">
        <v>230</v>
      </c>
      <c r="Q27" s="6" t="s">
        <v>231</v>
      </c>
      <c r="R27" t="str">
        <f t="shared" si="0"/>
        <v>Pending</v>
      </c>
      <c r="S27" t="str">
        <f t="shared" si="0"/>
        <v>Pending</v>
      </c>
      <c r="T27" t="str">
        <f t="shared" si="0"/>
        <v>Pending</v>
      </c>
      <c r="U27" t="str">
        <f t="shared" si="1"/>
        <v>Pending</v>
      </c>
      <c r="V27" t="str">
        <f t="shared" si="2"/>
        <v>-</v>
      </c>
    </row>
    <row r="28" spans="1:22" ht="15" customHeight="1" x14ac:dyDescent="0.35">
      <c r="A28" t="s">
        <v>232</v>
      </c>
      <c r="B28" t="s">
        <v>163</v>
      </c>
      <c r="C28" t="s">
        <v>233</v>
      </c>
      <c r="D28" t="s">
        <v>23</v>
      </c>
      <c r="E28" t="s">
        <v>234</v>
      </c>
      <c r="F28" t="s">
        <v>235</v>
      </c>
      <c r="G28" t="s">
        <v>236</v>
      </c>
      <c r="H28">
        <v>2026</v>
      </c>
      <c r="I28" t="s">
        <v>27</v>
      </c>
      <c r="J28">
        <v>8</v>
      </c>
      <c r="K28" t="s">
        <v>237</v>
      </c>
      <c r="L28" t="s">
        <v>29</v>
      </c>
      <c r="M28" t="s">
        <v>238</v>
      </c>
      <c r="N28" t="s">
        <v>170</v>
      </c>
      <c r="O28">
        <v>10</v>
      </c>
      <c r="P28" t="s">
        <v>239</v>
      </c>
      <c r="Q28" s="6" t="s">
        <v>240</v>
      </c>
      <c r="R28" t="str">
        <f t="shared" si="0"/>
        <v>-</v>
      </c>
      <c r="S28" t="str">
        <f t="shared" si="0"/>
        <v>-</v>
      </c>
      <c r="T28" t="str">
        <f t="shared" si="0"/>
        <v>-</v>
      </c>
      <c r="U28" t="str">
        <f t="shared" si="1"/>
        <v>-</v>
      </c>
      <c r="V28" t="str">
        <f t="shared" si="2"/>
        <v>Pending</v>
      </c>
    </row>
    <row r="29" spans="1:22" ht="15" customHeight="1" x14ac:dyDescent="0.35">
      <c r="A29" t="s">
        <v>241</v>
      </c>
      <c r="B29" t="s">
        <v>163</v>
      </c>
      <c r="C29" t="s">
        <v>233</v>
      </c>
      <c r="D29" t="s">
        <v>23</v>
      </c>
      <c r="E29" t="s">
        <v>234</v>
      </c>
      <c r="F29" t="s">
        <v>242</v>
      </c>
      <c r="G29" t="s">
        <v>243</v>
      </c>
      <c r="H29">
        <v>2026</v>
      </c>
      <c r="I29" t="s">
        <v>69</v>
      </c>
      <c r="J29">
        <v>9</v>
      </c>
      <c r="K29" t="s">
        <v>244</v>
      </c>
      <c r="L29" t="s">
        <v>29</v>
      </c>
      <c r="M29" t="s">
        <v>245</v>
      </c>
      <c r="N29" t="s">
        <v>170</v>
      </c>
      <c r="O29">
        <v>11</v>
      </c>
      <c r="P29" t="s">
        <v>246</v>
      </c>
      <c r="Q29" s="6" t="s">
        <v>179</v>
      </c>
      <c r="R29" t="str">
        <f t="shared" si="0"/>
        <v>-</v>
      </c>
      <c r="S29" t="str">
        <f t="shared" si="0"/>
        <v>-</v>
      </c>
      <c r="T29" t="str">
        <f t="shared" si="0"/>
        <v>-</v>
      </c>
      <c r="U29" t="str">
        <f t="shared" si="1"/>
        <v>-</v>
      </c>
      <c r="V29" t="str">
        <f t="shared" si="2"/>
        <v>Pending</v>
      </c>
    </row>
    <row r="30" spans="1:22" ht="15" customHeight="1" x14ac:dyDescent="0.35">
      <c r="A30" t="s">
        <v>247</v>
      </c>
      <c r="B30" t="s">
        <v>163</v>
      </c>
      <c r="C30" t="s">
        <v>233</v>
      </c>
      <c r="D30" t="s">
        <v>248</v>
      </c>
      <c r="E30" t="s">
        <v>249</v>
      </c>
      <c r="F30" t="s">
        <v>250</v>
      </c>
      <c r="G30" t="s">
        <v>206</v>
      </c>
      <c r="H30">
        <v>2026</v>
      </c>
      <c r="I30" t="s">
        <v>27</v>
      </c>
      <c r="J30">
        <v>7</v>
      </c>
      <c r="K30" t="s">
        <v>251</v>
      </c>
      <c r="L30" t="s">
        <v>52</v>
      </c>
      <c r="M30" t="s">
        <v>252</v>
      </c>
      <c r="N30" t="s">
        <v>170</v>
      </c>
      <c r="O30">
        <v>12</v>
      </c>
      <c r="P30" t="s">
        <v>253</v>
      </c>
      <c r="Q30" s="6" t="s">
        <v>254</v>
      </c>
      <c r="R30" t="str">
        <f t="shared" si="0"/>
        <v>Pending</v>
      </c>
      <c r="S30" t="str">
        <f t="shared" si="0"/>
        <v>Pending</v>
      </c>
      <c r="T30" t="str">
        <f t="shared" si="0"/>
        <v>Pending</v>
      </c>
      <c r="U30" t="str">
        <f t="shared" si="1"/>
        <v>Pending</v>
      </c>
      <c r="V30" t="str">
        <f t="shared" si="2"/>
        <v>-</v>
      </c>
    </row>
    <row r="31" spans="1:22" ht="15" customHeight="1" x14ac:dyDescent="0.35">
      <c r="A31" t="s">
        <v>255</v>
      </c>
      <c r="B31" t="s">
        <v>163</v>
      </c>
      <c r="C31" t="s">
        <v>233</v>
      </c>
      <c r="D31" t="s">
        <v>248</v>
      </c>
      <c r="E31" t="s">
        <v>42</v>
      </c>
      <c r="F31" t="s">
        <v>256</v>
      </c>
      <c r="G31" t="s">
        <v>206</v>
      </c>
      <c r="H31" t="s">
        <v>68</v>
      </c>
      <c r="I31" t="s">
        <v>69</v>
      </c>
      <c r="J31">
        <v>8</v>
      </c>
      <c r="K31" t="s">
        <v>70</v>
      </c>
      <c r="L31" t="s">
        <v>29</v>
      </c>
      <c r="M31" s="2" t="s">
        <v>257</v>
      </c>
      <c r="N31" t="s">
        <v>170</v>
      </c>
      <c r="O31">
        <v>13</v>
      </c>
      <c r="P31" t="s">
        <v>258</v>
      </c>
      <c r="Q31" s="6" t="s">
        <v>259</v>
      </c>
      <c r="R31" t="str">
        <f t="shared" si="0"/>
        <v>-</v>
      </c>
      <c r="S31" t="str">
        <f t="shared" si="0"/>
        <v>-</v>
      </c>
      <c r="T31" t="str">
        <f t="shared" si="0"/>
        <v>-</v>
      </c>
      <c r="U31" t="str">
        <f t="shared" si="1"/>
        <v>-</v>
      </c>
      <c r="V31" t="str">
        <f t="shared" si="2"/>
        <v>Pending</v>
      </c>
    </row>
    <row r="32" spans="1:22" ht="15" customHeight="1" x14ac:dyDescent="0.35">
      <c r="A32" t="s">
        <v>260</v>
      </c>
      <c r="B32" t="s">
        <v>163</v>
      </c>
      <c r="C32" t="s">
        <v>233</v>
      </c>
      <c r="D32" t="s">
        <v>261</v>
      </c>
      <c r="E32" t="s">
        <v>262</v>
      </c>
      <c r="F32" t="s">
        <v>263</v>
      </c>
      <c r="G32" t="s">
        <v>264</v>
      </c>
      <c r="H32">
        <v>2026</v>
      </c>
      <c r="I32" t="s">
        <v>27</v>
      </c>
      <c r="J32">
        <v>9</v>
      </c>
      <c r="K32" t="s">
        <v>265</v>
      </c>
      <c r="L32" t="s">
        <v>150</v>
      </c>
      <c r="M32" t="s">
        <v>266</v>
      </c>
      <c r="N32" t="s">
        <v>170</v>
      </c>
      <c r="O32">
        <v>14</v>
      </c>
      <c r="P32" t="s">
        <v>267</v>
      </c>
      <c r="Q32" s="6" t="s">
        <v>268</v>
      </c>
      <c r="R32" t="str">
        <f t="shared" si="0"/>
        <v>Pending</v>
      </c>
      <c r="S32" t="str">
        <f t="shared" si="0"/>
        <v>Pending</v>
      </c>
      <c r="T32" t="str">
        <f t="shared" si="0"/>
        <v>Pending</v>
      </c>
      <c r="U32" t="str">
        <f t="shared" si="1"/>
        <v>Pending</v>
      </c>
      <c r="V32" t="str">
        <f t="shared" si="2"/>
        <v>Pending</v>
      </c>
    </row>
    <row r="33" spans="1:22" ht="15" customHeight="1" x14ac:dyDescent="0.35">
      <c r="A33" t="s">
        <v>269</v>
      </c>
      <c r="B33" t="s">
        <v>163</v>
      </c>
      <c r="C33" t="s">
        <v>233</v>
      </c>
      <c r="D33" t="s">
        <v>248</v>
      </c>
      <c r="E33" t="s">
        <v>270</v>
      </c>
      <c r="F33" t="s">
        <v>271</v>
      </c>
      <c r="G33" t="s">
        <v>272</v>
      </c>
      <c r="H33">
        <v>2026</v>
      </c>
      <c r="I33" t="s">
        <v>27</v>
      </c>
      <c r="J33">
        <v>8</v>
      </c>
      <c r="K33" t="s">
        <v>273</v>
      </c>
      <c r="L33" t="s">
        <v>52</v>
      </c>
      <c r="M33" t="s">
        <v>274</v>
      </c>
      <c r="N33" t="s">
        <v>170</v>
      </c>
      <c r="O33">
        <v>15</v>
      </c>
      <c r="P33" t="s">
        <v>275</v>
      </c>
      <c r="Q33" s="6" t="s">
        <v>276</v>
      </c>
      <c r="R33" t="str">
        <f t="shared" si="0"/>
        <v>Pending</v>
      </c>
      <c r="S33" t="str">
        <f t="shared" si="0"/>
        <v>Pending</v>
      </c>
      <c r="T33" t="str">
        <f t="shared" si="0"/>
        <v>Pending</v>
      </c>
      <c r="U33" t="str">
        <f t="shared" si="1"/>
        <v>Pending</v>
      </c>
      <c r="V33" t="str">
        <f t="shared" si="2"/>
        <v>-</v>
      </c>
    </row>
    <row r="34" spans="1:22" ht="15" customHeight="1" x14ac:dyDescent="0.35">
      <c r="A34" t="s">
        <v>277</v>
      </c>
      <c r="B34" t="s">
        <v>163</v>
      </c>
      <c r="C34" t="s">
        <v>233</v>
      </c>
      <c r="D34" t="s">
        <v>23</v>
      </c>
      <c r="E34" t="s">
        <v>278</v>
      </c>
      <c r="F34" t="s">
        <v>279</v>
      </c>
      <c r="G34" t="s">
        <v>280</v>
      </c>
      <c r="H34">
        <v>2026</v>
      </c>
      <c r="I34" t="s">
        <v>69</v>
      </c>
      <c r="J34">
        <v>8</v>
      </c>
      <c r="K34" t="s">
        <v>281</v>
      </c>
      <c r="L34" t="s">
        <v>29</v>
      </c>
      <c r="M34" t="s">
        <v>282</v>
      </c>
      <c r="N34" t="s">
        <v>170</v>
      </c>
      <c r="O34">
        <v>16</v>
      </c>
      <c r="P34" t="s">
        <v>283</v>
      </c>
      <c r="Q34" s="6" t="s">
        <v>284</v>
      </c>
      <c r="R34" t="str">
        <f t="shared" si="0"/>
        <v>-</v>
      </c>
      <c r="S34" t="str">
        <f t="shared" si="0"/>
        <v>-</v>
      </c>
      <c r="T34" t="str">
        <f t="shared" si="0"/>
        <v>-</v>
      </c>
      <c r="U34" t="str">
        <f t="shared" si="1"/>
        <v>-</v>
      </c>
      <c r="V34" t="str">
        <f t="shared" si="2"/>
        <v>Pending</v>
      </c>
    </row>
    <row r="35" spans="1:22" ht="15" customHeight="1" x14ac:dyDescent="0.35">
      <c r="A35" t="s">
        <v>285</v>
      </c>
      <c r="B35" t="s">
        <v>163</v>
      </c>
      <c r="C35" t="s">
        <v>286</v>
      </c>
      <c r="D35" t="s">
        <v>23</v>
      </c>
      <c r="E35" t="s">
        <v>287</v>
      </c>
      <c r="F35" t="s">
        <v>288</v>
      </c>
      <c r="G35" t="s">
        <v>289</v>
      </c>
      <c r="H35">
        <v>2026</v>
      </c>
      <c r="I35" t="s">
        <v>69</v>
      </c>
      <c r="J35">
        <v>9</v>
      </c>
      <c r="K35" t="s">
        <v>290</v>
      </c>
      <c r="L35" t="s">
        <v>29</v>
      </c>
      <c r="M35" s="2" t="s">
        <v>291</v>
      </c>
      <c r="N35" t="s">
        <v>170</v>
      </c>
      <c r="O35">
        <v>17</v>
      </c>
      <c r="P35" t="s">
        <v>292</v>
      </c>
      <c r="Q35" s="6" t="s">
        <v>293</v>
      </c>
      <c r="R35" t="str">
        <f t="shared" si="0"/>
        <v>-</v>
      </c>
      <c r="S35" t="str">
        <f t="shared" si="0"/>
        <v>-</v>
      </c>
      <c r="T35" t="str">
        <f t="shared" si="0"/>
        <v>-</v>
      </c>
      <c r="U35" t="str">
        <f t="shared" si="1"/>
        <v>-</v>
      </c>
      <c r="V35" t="str">
        <f t="shared" si="2"/>
        <v>Pending</v>
      </c>
    </row>
    <row r="36" spans="1:22" ht="15" customHeight="1" x14ac:dyDescent="0.35">
      <c r="A36" t="s">
        <v>294</v>
      </c>
      <c r="B36" t="s">
        <v>163</v>
      </c>
      <c r="C36" t="s">
        <v>286</v>
      </c>
      <c r="D36" t="s">
        <v>248</v>
      </c>
      <c r="E36" t="s">
        <v>295</v>
      </c>
      <c r="F36" t="s">
        <v>296</v>
      </c>
      <c r="G36" t="s">
        <v>297</v>
      </c>
      <c r="H36">
        <v>2026</v>
      </c>
      <c r="I36" t="s">
        <v>69</v>
      </c>
      <c r="J36">
        <v>8</v>
      </c>
      <c r="K36" t="s">
        <v>298</v>
      </c>
      <c r="L36" t="s">
        <v>52</v>
      </c>
      <c r="M36" s="2" t="s">
        <v>299</v>
      </c>
      <c r="N36" t="s">
        <v>170</v>
      </c>
      <c r="O36">
        <v>18</v>
      </c>
      <c r="P36" t="s">
        <v>300</v>
      </c>
      <c r="Q36" s="6" t="s">
        <v>301</v>
      </c>
      <c r="R36" t="str">
        <f t="shared" si="0"/>
        <v>Pending</v>
      </c>
      <c r="S36" t="str">
        <f t="shared" si="0"/>
        <v>Pending</v>
      </c>
      <c r="T36" t="str">
        <f t="shared" si="0"/>
        <v>Pending</v>
      </c>
      <c r="U36" t="str">
        <f t="shared" si="1"/>
        <v>Pending</v>
      </c>
      <c r="V36" t="str">
        <f t="shared" si="2"/>
        <v>-</v>
      </c>
    </row>
    <row r="37" spans="1:22" ht="15" customHeight="1" x14ac:dyDescent="0.35">
      <c r="A37" t="s">
        <v>302</v>
      </c>
      <c r="B37" t="s">
        <v>303</v>
      </c>
      <c r="C37" t="s">
        <v>304</v>
      </c>
      <c r="D37" t="s">
        <v>23</v>
      </c>
      <c r="E37" t="s">
        <v>305</v>
      </c>
      <c r="F37" t="s">
        <v>306</v>
      </c>
      <c r="G37" t="s">
        <v>307</v>
      </c>
      <c r="H37">
        <v>2027</v>
      </c>
      <c r="I37" t="s">
        <v>69</v>
      </c>
      <c r="J37">
        <v>9</v>
      </c>
      <c r="K37" t="s">
        <v>308</v>
      </c>
      <c r="L37" t="s">
        <v>29</v>
      </c>
      <c r="M37" t="s">
        <v>309</v>
      </c>
      <c r="N37" t="s">
        <v>310</v>
      </c>
      <c r="O37">
        <v>1</v>
      </c>
      <c r="P37" t="s">
        <v>311</v>
      </c>
      <c r="Q37" s="6" t="s">
        <v>312</v>
      </c>
      <c r="R37" t="str">
        <f t="shared" si="0"/>
        <v>-</v>
      </c>
      <c r="S37" t="str">
        <f t="shared" si="0"/>
        <v>-</v>
      </c>
      <c r="T37" t="str">
        <f t="shared" si="0"/>
        <v>-</v>
      </c>
      <c r="U37" t="str">
        <f t="shared" si="1"/>
        <v>-</v>
      </c>
      <c r="V37" t="str">
        <f t="shared" si="2"/>
        <v>Pending</v>
      </c>
    </row>
    <row r="38" spans="1:22" ht="15" customHeight="1" x14ac:dyDescent="0.35">
      <c r="A38" t="s">
        <v>313</v>
      </c>
      <c r="B38" t="s">
        <v>303</v>
      </c>
      <c r="C38" t="s">
        <v>304</v>
      </c>
      <c r="D38" t="s">
        <v>248</v>
      </c>
      <c r="E38" t="s">
        <v>314</v>
      </c>
      <c r="F38" t="s">
        <v>315</v>
      </c>
      <c r="G38" t="s">
        <v>316</v>
      </c>
      <c r="H38">
        <v>2026</v>
      </c>
      <c r="I38" t="s">
        <v>27</v>
      </c>
      <c r="J38">
        <v>7</v>
      </c>
      <c r="K38" t="s">
        <v>317</v>
      </c>
      <c r="L38" t="s">
        <v>318</v>
      </c>
      <c r="M38" t="s">
        <v>319</v>
      </c>
      <c r="N38" t="s">
        <v>310</v>
      </c>
      <c r="O38">
        <v>2</v>
      </c>
      <c r="P38" t="s">
        <v>320</v>
      </c>
      <c r="Q38" s="6" t="s">
        <v>321</v>
      </c>
      <c r="R38" t="str">
        <f t="shared" si="0"/>
        <v>Pending</v>
      </c>
      <c r="S38" t="str">
        <f t="shared" si="0"/>
        <v>Pending</v>
      </c>
      <c r="T38" t="str">
        <f t="shared" si="0"/>
        <v>Pending</v>
      </c>
      <c r="U38" t="str">
        <f t="shared" si="1"/>
        <v>Pending</v>
      </c>
      <c r="V38" t="str">
        <f t="shared" si="2"/>
        <v>-</v>
      </c>
    </row>
    <row r="39" spans="1:22" ht="15" customHeight="1" x14ac:dyDescent="0.35">
      <c r="A39" t="s">
        <v>322</v>
      </c>
      <c r="B39" t="s">
        <v>303</v>
      </c>
      <c r="C39" t="s">
        <v>304</v>
      </c>
      <c r="D39" t="s">
        <v>248</v>
      </c>
      <c r="E39" t="s">
        <v>323</v>
      </c>
      <c r="F39" t="s">
        <v>324</v>
      </c>
      <c r="G39" t="s">
        <v>325</v>
      </c>
      <c r="H39">
        <v>2026</v>
      </c>
      <c r="I39" t="s">
        <v>27</v>
      </c>
      <c r="J39">
        <v>6</v>
      </c>
      <c r="K39" t="s">
        <v>326</v>
      </c>
      <c r="L39" t="s">
        <v>52</v>
      </c>
      <c r="M39" t="s">
        <v>327</v>
      </c>
      <c r="N39" t="s">
        <v>310</v>
      </c>
      <c r="O39">
        <v>3</v>
      </c>
      <c r="P39" t="s">
        <v>328</v>
      </c>
      <c r="Q39" s="6" t="s">
        <v>329</v>
      </c>
      <c r="R39" t="str">
        <f t="shared" si="0"/>
        <v>Pending</v>
      </c>
      <c r="S39" t="str">
        <f t="shared" si="0"/>
        <v>Pending</v>
      </c>
      <c r="T39" t="str">
        <f t="shared" si="0"/>
        <v>Pending</v>
      </c>
      <c r="U39" t="str">
        <f t="shared" si="1"/>
        <v>Pending</v>
      </c>
      <c r="V39" t="str">
        <f t="shared" si="2"/>
        <v>-</v>
      </c>
    </row>
    <row r="40" spans="1:22" ht="15" customHeight="1" x14ac:dyDescent="0.35">
      <c r="A40" t="s">
        <v>330</v>
      </c>
      <c r="B40" t="s">
        <v>303</v>
      </c>
      <c r="C40" t="s">
        <v>331</v>
      </c>
      <c r="D40" t="s">
        <v>23</v>
      </c>
      <c r="E40" t="s">
        <v>332</v>
      </c>
      <c r="F40" t="s">
        <v>333</v>
      </c>
      <c r="G40" t="s">
        <v>334</v>
      </c>
      <c r="H40">
        <v>2027</v>
      </c>
      <c r="I40" t="s">
        <v>69</v>
      </c>
      <c r="J40">
        <v>8</v>
      </c>
      <c r="K40" t="s">
        <v>335</v>
      </c>
      <c r="L40" t="s">
        <v>29</v>
      </c>
      <c r="M40" s="2" t="s">
        <v>336</v>
      </c>
      <c r="N40" t="s">
        <v>310</v>
      </c>
      <c r="O40">
        <v>4</v>
      </c>
      <c r="P40" t="s">
        <v>337</v>
      </c>
      <c r="Q40" s="6" t="s">
        <v>338</v>
      </c>
      <c r="R40" t="str">
        <f t="shared" si="0"/>
        <v>-</v>
      </c>
      <c r="S40" t="str">
        <f t="shared" si="0"/>
        <v>-</v>
      </c>
      <c r="T40" t="str">
        <f t="shared" si="0"/>
        <v>-</v>
      </c>
      <c r="U40" t="str">
        <f t="shared" si="1"/>
        <v>-</v>
      </c>
      <c r="V40" t="str">
        <f t="shared" si="2"/>
        <v>Pending</v>
      </c>
    </row>
    <row r="41" spans="1:22" ht="15" customHeight="1" x14ac:dyDescent="0.35">
      <c r="A41" t="s">
        <v>339</v>
      </c>
      <c r="B41" t="s">
        <v>303</v>
      </c>
      <c r="C41" t="s">
        <v>331</v>
      </c>
      <c r="D41" t="s">
        <v>48</v>
      </c>
      <c r="E41" t="s">
        <v>332</v>
      </c>
      <c r="F41" t="s">
        <v>340</v>
      </c>
      <c r="G41" t="s">
        <v>341</v>
      </c>
      <c r="H41">
        <v>2027</v>
      </c>
      <c r="I41" t="s">
        <v>69</v>
      </c>
      <c r="J41">
        <v>8</v>
      </c>
      <c r="K41" t="s">
        <v>342</v>
      </c>
      <c r="L41" t="s">
        <v>29</v>
      </c>
      <c r="M41" s="2" t="s">
        <v>343</v>
      </c>
      <c r="N41" t="s">
        <v>310</v>
      </c>
      <c r="O41">
        <v>5</v>
      </c>
      <c r="P41" t="s">
        <v>344</v>
      </c>
      <c r="Q41" s="6" t="s">
        <v>345</v>
      </c>
      <c r="R41" t="str">
        <f t="shared" si="0"/>
        <v>-</v>
      </c>
      <c r="S41" t="str">
        <f t="shared" si="0"/>
        <v>-</v>
      </c>
      <c r="T41" t="str">
        <f t="shared" si="0"/>
        <v>-</v>
      </c>
      <c r="U41" t="str">
        <f t="shared" si="1"/>
        <v>-</v>
      </c>
      <c r="V41" t="str">
        <f t="shared" si="2"/>
        <v>Pending</v>
      </c>
    </row>
    <row r="42" spans="1:22" ht="15" customHeight="1" x14ac:dyDescent="0.35">
      <c r="A42" t="s">
        <v>346</v>
      </c>
      <c r="B42" t="s">
        <v>303</v>
      </c>
      <c r="C42" t="s">
        <v>347</v>
      </c>
      <c r="D42" t="s">
        <v>23</v>
      </c>
      <c r="E42" t="s">
        <v>348</v>
      </c>
      <c r="F42" t="s">
        <v>349</v>
      </c>
      <c r="G42" t="s">
        <v>350</v>
      </c>
      <c r="H42">
        <v>2026</v>
      </c>
      <c r="I42" t="s">
        <v>27</v>
      </c>
      <c r="J42">
        <v>8</v>
      </c>
      <c r="K42" t="s">
        <v>351</v>
      </c>
      <c r="L42" t="s">
        <v>29</v>
      </c>
      <c r="M42" t="s">
        <v>352</v>
      </c>
      <c r="N42" t="s">
        <v>310</v>
      </c>
      <c r="O42">
        <v>6</v>
      </c>
      <c r="P42" t="s">
        <v>353</v>
      </c>
      <c r="Q42" s="6" t="s">
        <v>354</v>
      </c>
      <c r="R42" t="str">
        <f t="shared" si="0"/>
        <v>-</v>
      </c>
      <c r="S42" t="str">
        <f t="shared" si="0"/>
        <v>-</v>
      </c>
      <c r="T42" t="str">
        <f t="shared" si="0"/>
        <v>-</v>
      </c>
      <c r="U42" t="str">
        <f t="shared" si="1"/>
        <v>-</v>
      </c>
      <c r="V42" t="str">
        <f t="shared" si="2"/>
        <v>Pending</v>
      </c>
    </row>
    <row r="43" spans="1:22" ht="15" customHeight="1" x14ac:dyDescent="0.35">
      <c r="A43" t="s">
        <v>355</v>
      </c>
      <c r="B43" t="s">
        <v>303</v>
      </c>
      <c r="C43" t="s">
        <v>347</v>
      </c>
      <c r="D43" t="s">
        <v>356</v>
      </c>
      <c r="E43" t="s">
        <v>357</v>
      </c>
      <c r="F43" t="s">
        <v>358</v>
      </c>
      <c r="G43" t="s">
        <v>359</v>
      </c>
      <c r="H43">
        <v>2026</v>
      </c>
      <c r="I43" t="s">
        <v>27</v>
      </c>
      <c r="J43">
        <v>7</v>
      </c>
      <c r="K43" t="s">
        <v>360</v>
      </c>
      <c r="L43" t="s">
        <v>52</v>
      </c>
      <c r="M43" t="s">
        <v>361</v>
      </c>
      <c r="N43" t="s">
        <v>310</v>
      </c>
      <c r="O43">
        <v>7</v>
      </c>
      <c r="P43" t="s">
        <v>362</v>
      </c>
      <c r="Q43" s="6" t="s">
        <v>363</v>
      </c>
      <c r="R43" t="str">
        <f t="shared" si="0"/>
        <v>Pending</v>
      </c>
      <c r="S43" t="str">
        <f t="shared" si="0"/>
        <v>Pending</v>
      </c>
      <c r="T43" t="str">
        <f t="shared" si="0"/>
        <v>Pending</v>
      </c>
      <c r="U43" t="str">
        <f t="shared" si="1"/>
        <v>Pending</v>
      </c>
      <c r="V43" t="str">
        <f t="shared" si="2"/>
        <v>-</v>
      </c>
    </row>
    <row r="44" spans="1:22" ht="15" customHeight="1" x14ac:dyDescent="0.35">
      <c r="A44" t="s">
        <v>364</v>
      </c>
      <c r="B44" t="s">
        <v>303</v>
      </c>
      <c r="C44" t="s">
        <v>365</v>
      </c>
      <c r="D44" t="s">
        <v>48</v>
      </c>
      <c r="E44" t="s">
        <v>366</v>
      </c>
      <c r="F44" t="s">
        <v>367</v>
      </c>
      <c r="G44" t="s">
        <v>368</v>
      </c>
      <c r="H44">
        <v>2026</v>
      </c>
      <c r="I44" t="s">
        <v>69</v>
      </c>
      <c r="J44">
        <v>8</v>
      </c>
      <c r="K44" t="s">
        <v>369</v>
      </c>
      <c r="L44" t="s">
        <v>52</v>
      </c>
      <c r="M44" s="2" t="s">
        <v>370</v>
      </c>
      <c r="N44" t="s">
        <v>310</v>
      </c>
      <c r="O44">
        <v>8</v>
      </c>
      <c r="P44" t="s">
        <v>371</v>
      </c>
      <c r="Q44" s="6" t="s">
        <v>372</v>
      </c>
      <c r="R44" t="str">
        <f t="shared" si="0"/>
        <v>Pending</v>
      </c>
      <c r="S44" t="str">
        <f t="shared" si="0"/>
        <v>Pending</v>
      </c>
      <c r="T44" t="str">
        <f t="shared" si="0"/>
        <v>Pending</v>
      </c>
      <c r="U44" t="str">
        <f t="shared" si="1"/>
        <v>Pending</v>
      </c>
      <c r="V44" t="str">
        <f t="shared" si="2"/>
        <v>-</v>
      </c>
    </row>
    <row r="45" spans="1:22" ht="15" customHeight="1" x14ac:dyDescent="0.35">
      <c r="A45" t="s">
        <v>373</v>
      </c>
      <c r="B45" t="s">
        <v>303</v>
      </c>
      <c r="C45" t="s">
        <v>365</v>
      </c>
      <c r="D45" t="s">
        <v>23</v>
      </c>
      <c r="E45" t="s">
        <v>374</v>
      </c>
      <c r="F45" t="s">
        <v>375</v>
      </c>
      <c r="G45" t="s">
        <v>243</v>
      </c>
      <c r="H45">
        <v>2027</v>
      </c>
      <c r="I45" t="s">
        <v>69</v>
      </c>
      <c r="J45">
        <v>9</v>
      </c>
      <c r="K45" t="s">
        <v>376</v>
      </c>
      <c r="L45" t="s">
        <v>29</v>
      </c>
      <c r="M45" s="2" t="s">
        <v>377</v>
      </c>
      <c r="N45" t="s">
        <v>310</v>
      </c>
      <c r="O45">
        <v>9</v>
      </c>
      <c r="P45" t="s">
        <v>378</v>
      </c>
      <c r="Q45" s="6" t="s">
        <v>379</v>
      </c>
      <c r="R45" t="str">
        <f t="shared" si="0"/>
        <v>-</v>
      </c>
      <c r="S45" t="str">
        <f t="shared" si="0"/>
        <v>-</v>
      </c>
      <c r="T45" t="str">
        <f t="shared" si="0"/>
        <v>-</v>
      </c>
      <c r="U45" t="str">
        <f t="shared" si="1"/>
        <v>-</v>
      </c>
      <c r="V45" t="str">
        <f t="shared" si="2"/>
        <v>Pending</v>
      </c>
    </row>
    <row r="46" spans="1:22" ht="15" customHeight="1" x14ac:dyDescent="0.35">
      <c r="A46" t="s">
        <v>380</v>
      </c>
      <c r="B46" t="s">
        <v>303</v>
      </c>
      <c r="C46" t="s">
        <v>365</v>
      </c>
      <c r="D46" t="s">
        <v>356</v>
      </c>
      <c r="E46" t="s">
        <v>381</v>
      </c>
      <c r="F46" t="s">
        <v>382</v>
      </c>
      <c r="G46" t="s">
        <v>383</v>
      </c>
      <c r="H46">
        <v>2027</v>
      </c>
      <c r="I46" t="s">
        <v>69</v>
      </c>
      <c r="J46">
        <v>8</v>
      </c>
      <c r="K46" t="s">
        <v>384</v>
      </c>
      <c r="L46" t="s">
        <v>52</v>
      </c>
      <c r="M46" t="s">
        <v>385</v>
      </c>
      <c r="N46" t="s">
        <v>310</v>
      </c>
      <c r="O46">
        <v>10</v>
      </c>
      <c r="P46" t="s">
        <v>386</v>
      </c>
      <c r="Q46" s="6" t="s">
        <v>387</v>
      </c>
      <c r="R46" t="str">
        <f t="shared" si="0"/>
        <v>Pending</v>
      </c>
      <c r="S46" t="str">
        <f t="shared" si="0"/>
        <v>Pending</v>
      </c>
      <c r="T46" t="str">
        <f t="shared" si="0"/>
        <v>Pending</v>
      </c>
      <c r="U46" t="str">
        <f t="shared" si="1"/>
        <v>Pending</v>
      </c>
      <c r="V46" t="str">
        <f t="shared" si="2"/>
        <v>-</v>
      </c>
    </row>
    <row r="47" spans="1:22" ht="15" customHeight="1" x14ac:dyDescent="0.35">
      <c r="A47" t="s">
        <v>388</v>
      </c>
      <c r="B47" t="s">
        <v>303</v>
      </c>
      <c r="C47" t="s">
        <v>365</v>
      </c>
      <c r="D47" t="s">
        <v>48</v>
      </c>
      <c r="E47" t="s">
        <v>389</v>
      </c>
      <c r="F47" t="s">
        <v>390</v>
      </c>
      <c r="G47" t="s">
        <v>391</v>
      </c>
      <c r="H47">
        <v>2026</v>
      </c>
      <c r="I47" t="s">
        <v>27</v>
      </c>
      <c r="J47">
        <v>9</v>
      </c>
      <c r="K47" t="s">
        <v>392</v>
      </c>
      <c r="L47" t="s">
        <v>318</v>
      </c>
      <c r="M47" s="2" t="s">
        <v>393</v>
      </c>
      <c r="N47" t="s">
        <v>310</v>
      </c>
      <c r="O47">
        <v>11</v>
      </c>
      <c r="P47" t="s">
        <v>394</v>
      </c>
      <c r="Q47" s="6" t="s">
        <v>379</v>
      </c>
      <c r="R47" t="str">
        <f t="shared" si="0"/>
        <v>Pending</v>
      </c>
      <c r="S47" t="str">
        <f t="shared" si="0"/>
        <v>Pending</v>
      </c>
      <c r="T47" t="str">
        <f t="shared" si="0"/>
        <v>Pending</v>
      </c>
      <c r="U47" t="str">
        <f t="shared" si="1"/>
        <v>Pending</v>
      </c>
      <c r="V47" t="str">
        <f t="shared" si="2"/>
        <v>-</v>
      </c>
    </row>
    <row r="48" spans="1:22" ht="15" customHeight="1" x14ac:dyDescent="0.35">
      <c r="A48" t="s">
        <v>395</v>
      </c>
      <c r="B48" t="s">
        <v>303</v>
      </c>
      <c r="C48" t="s">
        <v>396</v>
      </c>
      <c r="D48" t="s">
        <v>23</v>
      </c>
      <c r="E48" t="s">
        <v>397</v>
      </c>
      <c r="F48" t="s">
        <v>398</v>
      </c>
      <c r="G48" t="s">
        <v>399</v>
      </c>
      <c r="H48">
        <v>2027</v>
      </c>
      <c r="I48" t="s">
        <v>69</v>
      </c>
      <c r="J48">
        <v>9</v>
      </c>
      <c r="K48" t="s">
        <v>400</v>
      </c>
      <c r="L48" t="s">
        <v>318</v>
      </c>
      <c r="M48" s="2" t="s">
        <v>401</v>
      </c>
      <c r="N48" t="s">
        <v>310</v>
      </c>
      <c r="O48">
        <v>12</v>
      </c>
      <c r="P48" t="s">
        <v>402</v>
      </c>
      <c r="Q48" s="6" t="s">
        <v>403</v>
      </c>
      <c r="R48" t="str">
        <f t="shared" si="0"/>
        <v>Pending</v>
      </c>
      <c r="S48" t="str">
        <f t="shared" si="0"/>
        <v>Pending</v>
      </c>
      <c r="T48" t="str">
        <f t="shared" si="0"/>
        <v>Pending</v>
      </c>
      <c r="U48" t="str">
        <f t="shared" si="1"/>
        <v>Pending</v>
      </c>
      <c r="V48" t="str">
        <f t="shared" si="2"/>
        <v>-</v>
      </c>
    </row>
    <row r="49" spans="1:22" ht="15" customHeight="1" x14ac:dyDescent="0.35">
      <c r="A49" t="s">
        <v>404</v>
      </c>
      <c r="B49" t="s">
        <v>303</v>
      </c>
      <c r="C49" t="s">
        <v>396</v>
      </c>
      <c r="D49" t="s">
        <v>23</v>
      </c>
      <c r="E49" t="s">
        <v>405</v>
      </c>
      <c r="F49" t="s">
        <v>406</v>
      </c>
      <c r="G49" t="s">
        <v>407</v>
      </c>
      <c r="H49">
        <v>2026</v>
      </c>
      <c r="I49" t="s">
        <v>27</v>
      </c>
      <c r="J49">
        <v>9</v>
      </c>
      <c r="K49" t="s">
        <v>408</v>
      </c>
      <c r="L49" t="s">
        <v>409</v>
      </c>
      <c r="M49" t="s">
        <v>410</v>
      </c>
      <c r="N49" t="s">
        <v>310</v>
      </c>
      <c r="O49">
        <v>13</v>
      </c>
      <c r="P49" t="s">
        <v>411</v>
      </c>
      <c r="Q49" s="6" t="s">
        <v>412</v>
      </c>
      <c r="R49" t="str">
        <f t="shared" si="0"/>
        <v>Pending</v>
      </c>
      <c r="S49" t="str">
        <f t="shared" si="0"/>
        <v>Pending</v>
      </c>
      <c r="T49" t="str">
        <f t="shared" si="0"/>
        <v>Pending</v>
      </c>
      <c r="U49" t="str">
        <f t="shared" si="1"/>
        <v>Pending</v>
      </c>
      <c r="V49" t="str">
        <f t="shared" si="2"/>
        <v>Pending</v>
      </c>
    </row>
    <row r="50" spans="1:22" ht="15" customHeight="1" x14ac:dyDescent="0.35">
      <c r="A50" t="s">
        <v>413</v>
      </c>
      <c r="B50" t="s">
        <v>303</v>
      </c>
      <c r="C50" t="s">
        <v>396</v>
      </c>
      <c r="D50" t="s">
        <v>23</v>
      </c>
      <c r="E50" t="s">
        <v>332</v>
      </c>
      <c r="F50" t="s">
        <v>414</v>
      </c>
      <c r="G50" t="s">
        <v>415</v>
      </c>
      <c r="H50">
        <v>2026</v>
      </c>
      <c r="I50" t="s">
        <v>27</v>
      </c>
      <c r="J50">
        <v>9</v>
      </c>
      <c r="K50" t="s">
        <v>416</v>
      </c>
      <c r="L50" t="s">
        <v>409</v>
      </c>
      <c r="M50" s="2" t="s">
        <v>417</v>
      </c>
      <c r="N50" t="s">
        <v>310</v>
      </c>
      <c r="O50">
        <v>14</v>
      </c>
      <c r="P50" t="s">
        <v>418</v>
      </c>
      <c r="Q50" s="6" t="s">
        <v>419</v>
      </c>
      <c r="R50" t="str">
        <f t="shared" si="0"/>
        <v>Pending</v>
      </c>
      <c r="S50" t="str">
        <f t="shared" si="0"/>
        <v>Pending</v>
      </c>
      <c r="T50" t="str">
        <f t="shared" si="0"/>
        <v>Pending</v>
      </c>
      <c r="U50" t="str">
        <f t="shared" si="1"/>
        <v>Pending</v>
      </c>
      <c r="V50" t="str">
        <f t="shared" si="2"/>
        <v>Pending</v>
      </c>
    </row>
    <row r="51" spans="1:22" ht="15" customHeight="1" x14ac:dyDescent="0.35">
      <c r="A51" t="s">
        <v>420</v>
      </c>
      <c r="B51" t="s">
        <v>303</v>
      </c>
      <c r="C51" t="s">
        <v>396</v>
      </c>
      <c r="D51" t="s">
        <v>248</v>
      </c>
      <c r="E51" t="s">
        <v>421</v>
      </c>
      <c r="F51" t="s">
        <v>422</v>
      </c>
      <c r="G51" t="s">
        <v>423</v>
      </c>
      <c r="H51">
        <v>2026</v>
      </c>
      <c r="I51" t="s">
        <v>27</v>
      </c>
      <c r="J51">
        <v>7</v>
      </c>
      <c r="K51" t="s">
        <v>424</v>
      </c>
      <c r="L51" t="s">
        <v>52</v>
      </c>
      <c r="M51" s="2" t="s">
        <v>425</v>
      </c>
      <c r="N51" t="s">
        <v>310</v>
      </c>
      <c r="O51">
        <v>15</v>
      </c>
      <c r="P51" t="s">
        <v>426</v>
      </c>
      <c r="Q51" s="6" t="s">
        <v>427</v>
      </c>
      <c r="R51" t="str">
        <f t="shared" si="0"/>
        <v>Pending</v>
      </c>
      <c r="S51" t="str">
        <f t="shared" si="0"/>
        <v>Pending</v>
      </c>
      <c r="T51" t="str">
        <f t="shared" si="0"/>
        <v>Pending</v>
      </c>
      <c r="U51" t="str">
        <f t="shared" si="1"/>
        <v>Pending</v>
      </c>
      <c r="V51" t="str">
        <f t="shared" si="2"/>
        <v>-</v>
      </c>
    </row>
    <row r="52" spans="1:22" ht="15" customHeight="1" x14ac:dyDescent="0.35">
      <c r="A52" t="s">
        <v>428</v>
      </c>
      <c r="B52" t="s">
        <v>429</v>
      </c>
      <c r="C52" t="s">
        <v>430</v>
      </c>
      <c r="D52" t="s">
        <v>23</v>
      </c>
      <c r="E52" t="s">
        <v>431</v>
      </c>
      <c r="F52" t="s">
        <v>432</v>
      </c>
      <c r="G52" t="s">
        <v>433</v>
      </c>
      <c r="H52">
        <v>2026</v>
      </c>
      <c r="I52" t="s">
        <v>69</v>
      </c>
      <c r="J52">
        <v>9</v>
      </c>
      <c r="K52" t="s">
        <v>434</v>
      </c>
      <c r="L52" t="s">
        <v>409</v>
      </c>
      <c r="M52" t="s">
        <v>435</v>
      </c>
      <c r="N52" t="s">
        <v>436</v>
      </c>
      <c r="O52">
        <v>1</v>
      </c>
      <c r="P52" t="s">
        <v>437</v>
      </c>
      <c r="Q52" s="6" t="s">
        <v>438</v>
      </c>
      <c r="R52" t="str">
        <f t="shared" si="0"/>
        <v>Pending</v>
      </c>
      <c r="S52" t="str">
        <f t="shared" si="0"/>
        <v>Pending</v>
      </c>
      <c r="T52" t="str">
        <f t="shared" si="0"/>
        <v>Pending</v>
      </c>
      <c r="U52" t="str">
        <f t="shared" si="1"/>
        <v>Pending</v>
      </c>
      <c r="V52" t="str">
        <f t="shared" si="2"/>
        <v>Pending</v>
      </c>
    </row>
    <row r="53" spans="1:22" ht="15" customHeight="1" x14ac:dyDescent="0.35">
      <c r="A53" t="s">
        <v>439</v>
      </c>
      <c r="B53" t="s">
        <v>429</v>
      </c>
      <c r="C53" t="s">
        <v>430</v>
      </c>
      <c r="D53" t="s">
        <v>23</v>
      </c>
      <c r="E53" t="s">
        <v>440</v>
      </c>
      <c r="F53" t="s">
        <v>441</v>
      </c>
      <c r="G53" t="s">
        <v>442</v>
      </c>
      <c r="H53" t="s">
        <v>443</v>
      </c>
      <c r="I53" t="s">
        <v>69</v>
      </c>
      <c r="J53">
        <v>7</v>
      </c>
      <c r="K53" t="s">
        <v>444</v>
      </c>
      <c r="L53" t="s">
        <v>445</v>
      </c>
      <c r="M53" s="2" t="s">
        <v>446</v>
      </c>
      <c r="N53" t="s">
        <v>436</v>
      </c>
      <c r="O53">
        <v>2</v>
      </c>
      <c r="P53" t="s">
        <v>447</v>
      </c>
      <c r="Q53" s="6" t="s">
        <v>448</v>
      </c>
      <c r="R53" t="str">
        <f t="shared" si="0"/>
        <v>Pending</v>
      </c>
      <c r="S53" t="str">
        <f t="shared" si="0"/>
        <v>Pending</v>
      </c>
      <c r="T53" t="str">
        <f t="shared" si="0"/>
        <v>Pending</v>
      </c>
      <c r="U53" t="str">
        <f t="shared" si="1"/>
        <v>Pending</v>
      </c>
      <c r="V53" t="str">
        <f t="shared" si="2"/>
        <v>-</v>
      </c>
    </row>
    <row r="54" spans="1:22" ht="15" customHeight="1" x14ac:dyDescent="0.35">
      <c r="A54" t="s">
        <v>449</v>
      </c>
      <c r="B54" t="s">
        <v>429</v>
      </c>
      <c r="C54" t="s">
        <v>430</v>
      </c>
      <c r="D54" t="s">
        <v>23</v>
      </c>
      <c r="E54" t="s">
        <v>450</v>
      </c>
      <c r="F54" t="s">
        <v>451</v>
      </c>
      <c r="G54" t="s">
        <v>452</v>
      </c>
      <c r="H54" t="s">
        <v>443</v>
      </c>
      <c r="I54" t="s">
        <v>453</v>
      </c>
      <c r="J54">
        <v>8</v>
      </c>
      <c r="K54" t="s">
        <v>454</v>
      </c>
      <c r="L54" t="s">
        <v>52</v>
      </c>
      <c r="M54" t="s">
        <v>455</v>
      </c>
      <c r="N54" t="s">
        <v>436</v>
      </c>
      <c r="O54">
        <v>3</v>
      </c>
      <c r="P54" t="s">
        <v>456</v>
      </c>
      <c r="Q54" s="6" t="s">
        <v>457</v>
      </c>
      <c r="R54" t="str">
        <f t="shared" si="0"/>
        <v>Pending</v>
      </c>
      <c r="S54" t="str">
        <f t="shared" si="0"/>
        <v>Pending</v>
      </c>
      <c r="T54" t="str">
        <f t="shared" si="0"/>
        <v>Pending</v>
      </c>
      <c r="U54" t="str">
        <f t="shared" si="1"/>
        <v>Pending</v>
      </c>
      <c r="V54" t="str">
        <f t="shared" si="2"/>
        <v>-</v>
      </c>
    </row>
    <row r="55" spans="1:22" ht="15" customHeight="1" x14ac:dyDescent="0.35">
      <c r="A55" t="s">
        <v>458</v>
      </c>
      <c r="B55" t="s">
        <v>429</v>
      </c>
      <c r="C55" t="s">
        <v>430</v>
      </c>
      <c r="D55" t="s">
        <v>356</v>
      </c>
      <c r="E55" t="s">
        <v>459</v>
      </c>
      <c r="F55" t="s">
        <v>460</v>
      </c>
      <c r="G55" t="s">
        <v>461</v>
      </c>
      <c r="H55">
        <v>2027</v>
      </c>
      <c r="I55" t="s">
        <v>69</v>
      </c>
      <c r="J55">
        <v>9</v>
      </c>
      <c r="K55" t="s">
        <v>462</v>
      </c>
      <c r="L55" t="s">
        <v>463</v>
      </c>
      <c r="M55" t="s">
        <v>464</v>
      </c>
      <c r="N55" t="s">
        <v>436</v>
      </c>
      <c r="O55">
        <v>4</v>
      </c>
      <c r="P55" t="s">
        <v>465</v>
      </c>
      <c r="Q55" s="6" t="s">
        <v>466</v>
      </c>
      <c r="R55" t="str">
        <f t="shared" si="0"/>
        <v>-</v>
      </c>
      <c r="S55" t="str">
        <f t="shared" si="0"/>
        <v>-</v>
      </c>
      <c r="T55" t="str">
        <f t="shared" si="0"/>
        <v>-</v>
      </c>
      <c r="U55" t="str">
        <f t="shared" si="1"/>
        <v>-</v>
      </c>
      <c r="V55" t="str">
        <f t="shared" si="2"/>
        <v>Pending</v>
      </c>
    </row>
    <row r="56" spans="1:22" ht="15" customHeight="1" x14ac:dyDescent="0.35">
      <c r="A56" t="s">
        <v>467</v>
      </c>
      <c r="B56" t="s">
        <v>429</v>
      </c>
      <c r="C56" t="s">
        <v>430</v>
      </c>
      <c r="D56" t="s">
        <v>356</v>
      </c>
      <c r="E56" t="s">
        <v>468</v>
      </c>
      <c r="F56" t="s">
        <v>469</v>
      </c>
      <c r="G56" t="s">
        <v>470</v>
      </c>
      <c r="H56">
        <v>2027</v>
      </c>
      <c r="I56" t="s">
        <v>27</v>
      </c>
      <c r="J56">
        <v>8</v>
      </c>
      <c r="K56" t="s">
        <v>471</v>
      </c>
      <c r="L56" t="s">
        <v>52</v>
      </c>
      <c r="M56" t="s">
        <v>472</v>
      </c>
      <c r="N56" t="s">
        <v>436</v>
      </c>
      <c r="O56">
        <v>5</v>
      </c>
      <c r="P56" t="s">
        <v>473</v>
      </c>
      <c r="Q56" s="6" t="s">
        <v>474</v>
      </c>
      <c r="R56" t="str">
        <f t="shared" si="0"/>
        <v>Pending</v>
      </c>
      <c r="S56" t="str">
        <f t="shared" si="0"/>
        <v>Pending</v>
      </c>
      <c r="T56" t="str">
        <f t="shared" si="0"/>
        <v>Pending</v>
      </c>
      <c r="U56" t="str">
        <f t="shared" si="1"/>
        <v>Pending</v>
      </c>
      <c r="V56" t="str">
        <f t="shared" si="2"/>
        <v>-</v>
      </c>
    </row>
    <row r="57" spans="1:22" ht="15" customHeight="1" x14ac:dyDescent="0.35">
      <c r="A57" t="s">
        <v>475</v>
      </c>
      <c r="B57" t="s">
        <v>429</v>
      </c>
      <c r="C57" t="s">
        <v>430</v>
      </c>
      <c r="D57" t="s">
        <v>248</v>
      </c>
      <c r="E57" t="s">
        <v>476</v>
      </c>
      <c r="F57" t="s">
        <v>469</v>
      </c>
      <c r="G57" t="s">
        <v>470</v>
      </c>
      <c r="H57">
        <v>2027</v>
      </c>
      <c r="I57" t="s">
        <v>453</v>
      </c>
      <c r="J57">
        <v>8</v>
      </c>
      <c r="K57" t="s">
        <v>477</v>
      </c>
      <c r="L57" t="s">
        <v>52</v>
      </c>
      <c r="M57" t="s">
        <v>478</v>
      </c>
      <c r="N57" t="s">
        <v>436</v>
      </c>
      <c r="O57">
        <v>6</v>
      </c>
      <c r="P57" t="s">
        <v>479</v>
      </c>
      <c r="Q57" s="6" t="s">
        <v>480</v>
      </c>
      <c r="R57" t="str">
        <f t="shared" si="0"/>
        <v>Pending</v>
      </c>
      <c r="S57" t="str">
        <f t="shared" si="0"/>
        <v>Pending</v>
      </c>
      <c r="T57" t="str">
        <f t="shared" si="0"/>
        <v>Pending</v>
      </c>
      <c r="U57" t="str">
        <f t="shared" si="1"/>
        <v>Pending</v>
      </c>
      <c r="V57" t="str">
        <f t="shared" si="2"/>
        <v>-</v>
      </c>
    </row>
    <row r="58" spans="1:22" ht="15" customHeight="1" x14ac:dyDescent="0.35">
      <c r="A58" t="s">
        <v>481</v>
      </c>
      <c r="B58" t="s">
        <v>429</v>
      </c>
      <c r="C58" t="s">
        <v>430</v>
      </c>
      <c r="D58" t="s">
        <v>48</v>
      </c>
      <c r="E58" t="s">
        <v>482</v>
      </c>
      <c r="F58" t="s">
        <v>460</v>
      </c>
      <c r="G58" t="s">
        <v>483</v>
      </c>
      <c r="H58">
        <v>2027</v>
      </c>
      <c r="I58" t="s">
        <v>69</v>
      </c>
      <c r="J58">
        <v>9</v>
      </c>
      <c r="K58" t="s">
        <v>484</v>
      </c>
      <c r="L58" t="s">
        <v>463</v>
      </c>
      <c r="M58" t="s">
        <v>485</v>
      </c>
      <c r="N58" t="s">
        <v>436</v>
      </c>
      <c r="O58">
        <v>7</v>
      </c>
      <c r="P58" t="s">
        <v>486</v>
      </c>
      <c r="Q58" s="6" t="s">
        <v>487</v>
      </c>
      <c r="R58" t="str">
        <f t="shared" si="0"/>
        <v>-</v>
      </c>
      <c r="S58" t="str">
        <f t="shared" si="0"/>
        <v>-</v>
      </c>
      <c r="T58" t="str">
        <f t="shared" si="0"/>
        <v>-</v>
      </c>
      <c r="U58" t="str">
        <f t="shared" si="1"/>
        <v>-</v>
      </c>
      <c r="V58" t="str">
        <f t="shared" si="2"/>
        <v>Pending</v>
      </c>
    </row>
    <row r="59" spans="1:22" ht="15" customHeight="1" x14ac:dyDescent="0.35">
      <c r="A59" t="s">
        <v>488</v>
      </c>
      <c r="B59" t="s">
        <v>429</v>
      </c>
      <c r="C59" t="s">
        <v>430</v>
      </c>
      <c r="D59" t="s">
        <v>48</v>
      </c>
      <c r="E59" t="s">
        <v>482</v>
      </c>
      <c r="F59" t="s">
        <v>432</v>
      </c>
      <c r="G59" t="s">
        <v>489</v>
      </c>
      <c r="H59">
        <v>2026</v>
      </c>
      <c r="I59" t="s">
        <v>69</v>
      </c>
      <c r="J59">
        <v>8</v>
      </c>
      <c r="K59" t="s">
        <v>490</v>
      </c>
      <c r="L59" t="s">
        <v>409</v>
      </c>
      <c r="M59" t="s">
        <v>491</v>
      </c>
      <c r="N59" t="s">
        <v>436</v>
      </c>
      <c r="O59">
        <v>8</v>
      </c>
      <c r="P59" t="s">
        <v>492</v>
      </c>
      <c r="Q59" s="6" t="s">
        <v>493</v>
      </c>
      <c r="R59" t="str">
        <f t="shared" si="0"/>
        <v>Pending</v>
      </c>
      <c r="S59" t="str">
        <f t="shared" si="0"/>
        <v>Pending</v>
      </c>
      <c r="T59" t="str">
        <f t="shared" si="0"/>
        <v>Pending</v>
      </c>
      <c r="U59" t="str">
        <f t="shared" si="1"/>
        <v>Pending</v>
      </c>
      <c r="V59" t="str">
        <f t="shared" si="2"/>
        <v>Pending</v>
      </c>
    </row>
    <row r="60" spans="1:22" ht="15" customHeight="1" x14ac:dyDescent="0.35">
      <c r="A60" t="s">
        <v>494</v>
      </c>
      <c r="B60" t="s">
        <v>429</v>
      </c>
      <c r="C60" t="s">
        <v>430</v>
      </c>
      <c r="D60" t="s">
        <v>48</v>
      </c>
      <c r="E60" t="s">
        <v>495</v>
      </c>
      <c r="F60" t="s">
        <v>432</v>
      </c>
      <c r="G60" t="s">
        <v>496</v>
      </c>
      <c r="H60" t="s">
        <v>443</v>
      </c>
      <c r="I60" t="s">
        <v>69</v>
      </c>
      <c r="J60">
        <v>9</v>
      </c>
      <c r="K60" t="s">
        <v>497</v>
      </c>
      <c r="L60" t="s">
        <v>318</v>
      </c>
      <c r="M60" s="2" t="s">
        <v>498</v>
      </c>
      <c r="N60" t="s">
        <v>436</v>
      </c>
      <c r="O60">
        <v>9</v>
      </c>
      <c r="P60" t="s">
        <v>499</v>
      </c>
      <c r="Q60" s="6" t="s">
        <v>438</v>
      </c>
      <c r="R60" t="str">
        <f t="shared" si="0"/>
        <v>Pending</v>
      </c>
      <c r="S60" t="str">
        <f t="shared" si="0"/>
        <v>Pending</v>
      </c>
      <c r="T60" t="str">
        <f t="shared" si="0"/>
        <v>Pending</v>
      </c>
      <c r="U60" t="str">
        <f t="shared" si="1"/>
        <v>Pending</v>
      </c>
      <c r="V60" t="str">
        <f t="shared" si="2"/>
        <v>-</v>
      </c>
    </row>
    <row r="61" spans="1:22" ht="15" customHeight="1" x14ac:dyDescent="0.35">
      <c r="A61" t="s">
        <v>500</v>
      </c>
      <c r="B61" t="s">
        <v>429</v>
      </c>
      <c r="C61" t="s">
        <v>501</v>
      </c>
      <c r="D61" t="s">
        <v>23</v>
      </c>
      <c r="E61" t="s">
        <v>502</v>
      </c>
      <c r="F61" t="s">
        <v>503</v>
      </c>
      <c r="G61" t="s">
        <v>504</v>
      </c>
      <c r="H61">
        <v>2027</v>
      </c>
      <c r="I61" t="s">
        <v>69</v>
      </c>
      <c r="J61">
        <v>8</v>
      </c>
      <c r="K61" s="2" t="s">
        <v>505</v>
      </c>
      <c r="L61" t="s">
        <v>506</v>
      </c>
      <c r="M61" t="s">
        <v>507</v>
      </c>
      <c r="N61" t="s">
        <v>436</v>
      </c>
      <c r="O61">
        <v>10</v>
      </c>
      <c r="P61" t="s">
        <v>508</v>
      </c>
      <c r="Q61" s="6" t="s">
        <v>509</v>
      </c>
      <c r="R61" t="str">
        <f t="shared" si="0"/>
        <v>-</v>
      </c>
      <c r="S61" t="str">
        <f t="shared" si="0"/>
        <v>-</v>
      </c>
      <c r="T61" t="str">
        <f t="shared" si="0"/>
        <v>-</v>
      </c>
      <c r="U61" t="str">
        <f t="shared" si="1"/>
        <v>-</v>
      </c>
      <c r="V61" t="str">
        <f t="shared" si="2"/>
        <v>-</v>
      </c>
    </row>
    <row r="62" spans="1:22" ht="15" customHeight="1" x14ac:dyDescent="0.35">
      <c r="A62" t="s">
        <v>510</v>
      </c>
      <c r="B62" t="s">
        <v>429</v>
      </c>
      <c r="C62" t="s">
        <v>501</v>
      </c>
      <c r="D62" t="s">
        <v>23</v>
      </c>
      <c r="E62" t="s">
        <v>511</v>
      </c>
      <c r="F62" t="s">
        <v>512</v>
      </c>
      <c r="G62" t="s">
        <v>513</v>
      </c>
      <c r="H62">
        <v>2026</v>
      </c>
      <c r="I62" t="s">
        <v>27</v>
      </c>
      <c r="J62">
        <v>7</v>
      </c>
      <c r="K62" t="s">
        <v>514</v>
      </c>
      <c r="L62" t="s">
        <v>515</v>
      </c>
      <c r="M62" t="s">
        <v>516</v>
      </c>
      <c r="N62" t="s">
        <v>436</v>
      </c>
      <c r="O62">
        <v>11</v>
      </c>
      <c r="P62" t="s">
        <v>517</v>
      </c>
      <c r="Q62" s="6" t="s">
        <v>518</v>
      </c>
      <c r="R62" t="str">
        <f t="shared" si="0"/>
        <v>-</v>
      </c>
      <c r="S62" t="str">
        <f t="shared" si="0"/>
        <v>-</v>
      </c>
      <c r="T62" t="str">
        <f t="shared" si="0"/>
        <v>-</v>
      </c>
      <c r="U62" t="str">
        <f t="shared" si="1"/>
        <v>-</v>
      </c>
      <c r="V62" t="str">
        <f t="shared" si="2"/>
        <v>-</v>
      </c>
    </row>
    <row r="63" spans="1:22" ht="15" customHeight="1" x14ac:dyDescent="0.35">
      <c r="A63" t="s">
        <v>519</v>
      </c>
      <c r="B63" t="s">
        <v>429</v>
      </c>
      <c r="C63" t="s">
        <v>501</v>
      </c>
      <c r="D63" t="s">
        <v>23</v>
      </c>
      <c r="E63" t="s">
        <v>520</v>
      </c>
      <c r="F63" t="s">
        <v>503</v>
      </c>
      <c r="G63" t="s">
        <v>521</v>
      </c>
      <c r="H63">
        <v>2027</v>
      </c>
      <c r="I63" t="s">
        <v>27</v>
      </c>
      <c r="J63">
        <v>8</v>
      </c>
      <c r="K63" t="s">
        <v>522</v>
      </c>
      <c r="L63" t="s">
        <v>506</v>
      </c>
      <c r="M63" t="s">
        <v>516</v>
      </c>
      <c r="N63" t="s">
        <v>436</v>
      </c>
      <c r="O63">
        <v>12</v>
      </c>
      <c r="P63" t="s">
        <v>523</v>
      </c>
      <c r="Q63" s="6" t="s">
        <v>524</v>
      </c>
      <c r="R63" t="str">
        <f t="shared" si="0"/>
        <v>-</v>
      </c>
      <c r="S63" t="str">
        <f t="shared" si="0"/>
        <v>-</v>
      </c>
      <c r="T63" t="str">
        <f t="shared" si="0"/>
        <v>-</v>
      </c>
      <c r="U63" t="str">
        <f t="shared" si="1"/>
        <v>-</v>
      </c>
      <c r="V63" t="str">
        <f t="shared" si="2"/>
        <v>-</v>
      </c>
    </row>
    <row r="64" spans="1:22" ht="15" customHeight="1" x14ac:dyDescent="0.35">
      <c r="A64" t="s">
        <v>525</v>
      </c>
      <c r="B64" t="s">
        <v>429</v>
      </c>
      <c r="C64" t="s">
        <v>501</v>
      </c>
      <c r="D64" t="s">
        <v>48</v>
      </c>
      <c r="E64" t="s">
        <v>526</v>
      </c>
      <c r="F64" t="s">
        <v>527</v>
      </c>
      <c r="G64" t="s">
        <v>528</v>
      </c>
      <c r="H64">
        <v>2027</v>
      </c>
      <c r="I64" t="s">
        <v>69</v>
      </c>
      <c r="J64">
        <v>8</v>
      </c>
      <c r="K64" t="s">
        <v>529</v>
      </c>
      <c r="L64" t="s">
        <v>530</v>
      </c>
      <c r="M64" s="2" t="s">
        <v>531</v>
      </c>
      <c r="N64" t="s">
        <v>436</v>
      </c>
      <c r="O64">
        <v>13</v>
      </c>
      <c r="P64" t="s">
        <v>532</v>
      </c>
      <c r="Q64" s="6" t="s">
        <v>533</v>
      </c>
      <c r="R64" t="str">
        <f t="shared" si="0"/>
        <v>-</v>
      </c>
      <c r="S64" t="str">
        <f t="shared" si="0"/>
        <v>-</v>
      </c>
      <c r="T64" t="str">
        <f t="shared" si="0"/>
        <v>-</v>
      </c>
      <c r="U64" t="str">
        <f t="shared" si="1"/>
        <v>-</v>
      </c>
      <c r="V64" t="str">
        <f t="shared" si="2"/>
        <v>Pending</v>
      </c>
    </row>
    <row r="65" spans="1:22" ht="15" customHeight="1" x14ac:dyDescent="0.35">
      <c r="A65" t="s">
        <v>534</v>
      </c>
      <c r="B65" t="s">
        <v>429</v>
      </c>
      <c r="C65" t="s">
        <v>535</v>
      </c>
      <c r="D65" t="s">
        <v>23</v>
      </c>
      <c r="E65" t="s">
        <v>536</v>
      </c>
      <c r="F65" t="s">
        <v>537</v>
      </c>
      <c r="G65" t="s">
        <v>538</v>
      </c>
      <c r="H65">
        <v>2026</v>
      </c>
      <c r="I65" t="s">
        <v>453</v>
      </c>
      <c r="J65">
        <v>8</v>
      </c>
      <c r="K65" t="s">
        <v>539</v>
      </c>
      <c r="L65" t="s">
        <v>318</v>
      </c>
      <c r="M65" t="s">
        <v>540</v>
      </c>
      <c r="N65" t="s">
        <v>436</v>
      </c>
      <c r="O65">
        <v>14</v>
      </c>
      <c r="P65" t="s">
        <v>541</v>
      </c>
      <c r="Q65" s="6" t="s">
        <v>542</v>
      </c>
      <c r="R65" t="str">
        <f t="shared" si="0"/>
        <v>Pending</v>
      </c>
      <c r="S65" t="str">
        <f t="shared" si="0"/>
        <v>Pending</v>
      </c>
      <c r="T65" t="str">
        <f t="shared" si="0"/>
        <v>Pending</v>
      </c>
      <c r="U65" t="str">
        <f t="shared" si="1"/>
        <v>Pending</v>
      </c>
      <c r="V65" t="str">
        <f t="shared" si="2"/>
        <v>-</v>
      </c>
    </row>
    <row r="66" spans="1:22" ht="15" customHeight="1" x14ac:dyDescent="0.35">
      <c r="A66" t="s">
        <v>543</v>
      </c>
      <c r="B66" t="s">
        <v>429</v>
      </c>
      <c r="C66" t="s">
        <v>535</v>
      </c>
      <c r="D66" t="s">
        <v>248</v>
      </c>
      <c r="E66" t="s">
        <v>544</v>
      </c>
      <c r="F66" t="s">
        <v>441</v>
      </c>
      <c r="G66" t="s">
        <v>496</v>
      </c>
      <c r="H66" t="s">
        <v>443</v>
      </c>
      <c r="I66" t="s">
        <v>69</v>
      </c>
      <c r="J66">
        <v>7</v>
      </c>
      <c r="K66" t="s">
        <v>545</v>
      </c>
      <c r="L66" t="s">
        <v>318</v>
      </c>
      <c r="M66" t="s">
        <v>546</v>
      </c>
      <c r="N66" t="s">
        <v>436</v>
      </c>
      <c r="O66">
        <v>15</v>
      </c>
      <c r="P66" t="s">
        <v>547</v>
      </c>
      <c r="Q66" s="6" t="s">
        <v>548</v>
      </c>
      <c r="R66" t="str">
        <f t="shared" si="0"/>
        <v>Pending</v>
      </c>
      <c r="S66" t="str">
        <f t="shared" si="0"/>
        <v>Pending</v>
      </c>
      <c r="T66" t="str">
        <f t="shared" si="0"/>
        <v>Pending</v>
      </c>
      <c r="U66" t="str">
        <f t="shared" si="1"/>
        <v>Pending</v>
      </c>
      <c r="V66" t="str">
        <f t="shared" si="2"/>
        <v>-</v>
      </c>
    </row>
    <row r="67" spans="1:22" ht="15" customHeight="1" x14ac:dyDescent="0.35">
      <c r="A67" t="s">
        <v>549</v>
      </c>
      <c r="B67" t="s">
        <v>429</v>
      </c>
      <c r="C67" t="s">
        <v>535</v>
      </c>
      <c r="D67" t="s">
        <v>48</v>
      </c>
      <c r="E67" t="s">
        <v>550</v>
      </c>
      <c r="F67" t="s">
        <v>551</v>
      </c>
      <c r="G67" t="s">
        <v>552</v>
      </c>
      <c r="H67">
        <v>2026</v>
      </c>
      <c r="I67" t="s">
        <v>27</v>
      </c>
      <c r="J67">
        <v>8</v>
      </c>
      <c r="K67" t="s">
        <v>553</v>
      </c>
      <c r="L67" t="s">
        <v>515</v>
      </c>
      <c r="M67" t="s">
        <v>554</v>
      </c>
      <c r="N67" t="s">
        <v>436</v>
      </c>
      <c r="O67">
        <v>16</v>
      </c>
      <c r="P67" t="s">
        <v>555</v>
      </c>
      <c r="Q67" s="6" t="s">
        <v>457</v>
      </c>
      <c r="R67" t="str">
        <f t="shared" ref="R67:U87" si="3">IF(ISNUMBER(SEARCH("Provincial",$L67)),"Pending","-")</f>
        <v>-</v>
      </c>
      <c r="S67" t="str">
        <f t="shared" si="3"/>
        <v>-</v>
      </c>
      <c r="T67" t="str">
        <f t="shared" si="3"/>
        <v>-</v>
      </c>
      <c r="U67" t="str">
        <f t="shared" si="3"/>
        <v>-</v>
      </c>
      <c r="V67" t="str">
        <f t="shared" ref="V67:V87" si="4">IF(ISNUMBER(SEARCH("Regional",L67)),"Pending","-")</f>
        <v>-</v>
      </c>
    </row>
    <row r="68" spans="1:22" ht="15" customHeight="1" x14ac:dyDescent="0.35">
      <c r="A68" t="s">
        <v>556</v>
      </c>
      <c r="B68" t="s">
        <v>557</v>
      </c>
      <c r="C68" t="s">
        <v>558</v>
      </c>
      <c r="D68" t="s">
        <v>23</v>
      </c>
      <c r="E68" t="s">
        <v>559</v>
      </c>
      <c r="F68" t="s">
        <v>560</v>
      </c>
      <c r="G68" t="s">
        <v>561</v>
      </c>
      <c r="H68">
        <v>2027</v>
      </c>
      <c r="I68" t="s">
        <v>27</v>
      </c>
      <c r="J68">
        <v>8</v>
      </c>
      <c r="K68" t="s">
        <v>562</v>
      </c>
      <c r="L68" t="s">
        <v>563</v>
      </c>
      <c r="M68" t="s">
        <v>564</v>
      </c>
      <c r="N68" t="s">
        <v>565</v>
      </c>
      <c r="O68">
        <v>1</v>
      </c>
      <c r="P68" t="s">
        <v>566</v>
      </c>
      <c r="Q68" s="6" t="s">
        <v>567</v>
      </c>
      <c r="R68" t="str">
        <f t="shared" si="3"/>
        <v>-</v>
      </c>
      <c r="S68" t="str">
        <f t="shared" si="3"/>
        <v>-</v>
      </c>
      <c r="T68" t="str">
        <f t="shared" si="3"/>
        <v>-</v>
      </c>
      <c r="U68" t="str">
        <f t="shared" si="3"/>
        <v>-</v>
      </c>
      <c r="V68" t="str">
        <f t="shared" si="4"/>
        <v>Pending</v>
      </c>
    </row>
    <row r="69" spans="1:22" ht="15" customHeight="1" x14ac:dyDescent="0.35">
      <c r="A69" t="s">
        <v>568</v>
      </c>
      <c r="B69" t="s">
        <v>557</v>
      </c>
      <c r="C69" t="s">
        <v>558</v>
      </c>
      <c r="D69" t="s">
        <v>23</v>
      </c>
      <c r="E69" t="s">
        <v>569</v>
      </c>
      <c r="F69" t="s">
        <v>560</v>
      </c>
      <c r="G69" t="s">
        <v>570</v>
      </c>
      <c r="H69" t="s">
        <v>443</v>
      </c>
      <c r="I69" t="s">
        <v>27</v>
      </c>
      <c r="J69">
        <v>7</v>
      </c>
      <c r="K69" t="s">
        <v>562</v>
      </c>
      <c r="L69" t="s">
        <v>563</v>
      </c>
      <c r="M69" s="2" t="s">
        <v>571</v>
      </c>
      <c r="N69" t="s">
        <v>565</v>
      </c>
      <c r="O69">
        <v>2</v>
      </c>
      <c r="P69" t="s">
        <v>572</v>
      </c>
      <c r="Q69" s="6" t="s">
        <v>573</v>
      </c>
      <c r="R69" t="str">
        <f t="shared" si="3"/>
        <v>-</v>
      </c>
      <c r="S69" t="str">
        <f t="shared" si="3"/>
        <v>-</v>
      </c>
      <c r="T69" t="str">
        <f t="shared" si="3"/>
        <v>-</v>
      </c>
      <c r="U69" t="str">
        <f t="shared" si="3"/>
        <v>-</v>
      </c>
      <c r="V69" t="str">
        <f t="shared" si="4"/>
        <v>Pending</v>
      </c>
    </row>
    <row r="70" spans="1:22" ht="15" customHeight="1" x14ac:dyDescent="0.35">
      <c r="A70" t="s">
        <v>574</v>
      </c>
      <c r="B70" t="s">
        <v>557</v>
      </c>
      <c r="C70" t="s">
        <v>558</v>
      </c>
      <c r="D70" t="s">
        <v>23</v>
      </c>
      <c r="E70" t="s">
        <v>575</v>
      </c>
      <c r="F70" t="s">
        <v>576</v>
      </c>
      <c r="G70" t="s">
        <v>577</v>
      </c>
      <c r="H70">
        <v>2027</v>
      </c>
      <c r="I70" t="s">
        <v>69</v>
      </c>
      <c r="J70">
        <v>8</v>
      </c>
      <c r="K70" t="s">
        <v>578</v>
      </c>
      <c r="L70" t="s">
        <v>579</v>
      </c>
      <c r="M70" t="s">
        <v>580</v>
      </c>
      <c r="N70" t="s">
        <v>565</v>
      </c>
      <c r="O70">
        <v>3</v>
      </c>
      <c r="P70" t="s">
        <v>581</v>
      </c>
      <c r="Q70" s="6" t="s">
        <v>582</v>
      </c>
      <c r="R70" t="str">
        <f t="shared" si="3"/>
        <v>Pending</v>
      </c>
      <c r="S70" t="str">
        <f t="shared" si="3"/>
        <v>Pending</v>
      </c>
      <c r="T70" t="str">
        <f t="shared" si="3"/>
        <v>Pending</v>
      </c>
      <c r="U70" t="str">
        <f t="shared" si="3"/>
        <v>Pending</v>
      </c>
      <c r="V70" t="str">
        <f t="shared" si="4"/>
        <v>-</v>
      </c>
    </row>
    <row r="71" spans="1:22" ht="15" customHeight="1" x14ac:dyDescent="0.35">
      <c r="A71" t="s">
        <v>583</v>
      </c>
      <c r="B71" t="s">
        <v>557</v>
      </c>
      <c r="C71" t="s">
        <v>558</v>
      </c>
      <c r="D71" t="s">
        <v>48</v>
      </c>
      <c r="E71" t="s">
        <v>584</v>
      </c>
      <c r="F71" t="s">
        <v>585</v>
      </c>
      <c r="G71" t="s">
        <v>586</v>
      </c>
      <c r="H71">
        <v>2026</v>
      </c>
      <c r="I71" t="s">
        <v>69</v>
      </c>
      <c r="J71">
        <v>9</v>
      </c>
      <c r="K71" t="s">
        <v>587</v>
      </c>
      <c r="L71" t="s">
        <v>588</v>
      </c>
      <c r="M71" t="s">
        <v>589</v>
      </c>
      <c r="N71" t="s">
        <v>565</v>
      </c>
      <c r="O71">
        <v>4</v>
      </c>
      <c r="P71" t="s">
        <v>590</v>
      </c>
      <c r="Q71" s="6" t="s">
        <v>591</v>
      </c>
      <c r="R71" t="str">
        <f t="shared" si="3"/>
        <v>Pending</v>
      </c>
      <c r="S71" t="str">
        <f t="shared" si="3"/>
        <v>Pending</v>
      </c>
      <c r="T71" t="str">
        <f t="shared" si="3"/>
        <v>Pending</v>
      </c>
      <c r="U71" t="str">
        <f t="shared" si="3"/>
        <v>Pending</v>
      </c>
      <c r="V71" t="str">
        <f t="shared" si="4"/>
        <v>-</v>
      </c>
    </row>
    <row r="72" spans="1:22" ht="15" customHeight="1" x14ac:dyDescent="0.35">
      <c r="A72" t="s">
        <v>592</v>
      </c>
      <c r="B72" t="s">
        <v>557</v>
      </c>
      <c r="C72" t="s">
        <v>558</v>
      </c>
      <c r="D72" t="s">
        <v>48</v>
      </c>
      <c r="E72" t="s">
        <v>593</v>
      </c>
      <c r="F72" t="s">
        <v>594</v>
      </c>
      <c r="G72" t="s">
        <v>595</v>
      </c>
      <c r="H72">
        <v>2026</v>
      </c>
      <c r="I72" t="s">
        <v>69</v>
      </c>
      <c r="J72">
        <v>8</v>
      </c>
      <c r="K72" t="s">
        <v>596</v>
      </c>
      <c r="L72" t="s">
        <v>150</v>
      </c>
      <c r="M72" t="s">
        <v>597</v>
      </c>
      <c r="N72" t="s">
        <v>565</v>
      </c>
      <c r="O72">
        <v>5</v>
      </c>
      <c r="P72" t="s">
        <v>598</v>
      </c>
      <c r="Q72" s="6" t="s">
        <v>599</v>
      </c>
      <c r="R72" t="str">
        <f t="shared" si="3"/>
        <v>Pending</v>
      </c>
      <c r="S72" t="str">
        <f t="shared" si="3"/>
        <v>Pending</v>
      </c>
      <c r="T72" t="str">
        <f t="shared" si="3"/>
        <v>Pending</v>
      </c>
      <c r="U72" t="str">
        <f t="shared" si="3"/>
        <v>Pending</v>
      </c>
      <c r="V72" t="str">
        <f t="shared" si="4"/>
        <v>Pending</v>
      </c>
    </row>
    <row r="73" spans="1:22" ht="15" customHeight="1" x14ac:dyDescent="0.35">
      <c r="A73" t="s">
        <v>600</v>
      </c>
      <c r="B73" t="s">
        <v>557</v>
      </c>
      <c r="C73" t="s">
        <v>601</v>
      </c>
      <c r="D73" t="s">
        <v>248</v>
      </c>
      <c r="E73" t="s">
        <v>602</v>
      </c>
      <c r="F73" t="s">
        <v>603</v>
      </c>
      <c r="G73" t="s">
        <v>570</v>
      </c>
      <c r="H73">
        <v>2027</v>
      </c>
      <c r="I73" t="s">
        <v>27</v>
      </c>
      <c r="J73">
        <v>8</v>
      </c>
      <c r="K73" t="s">
        <v>604</v>
      </c>
      <c r="L73" t="s">
        <v>563</v>
      </c>
      <c r="M73" t="s">
        <v>605</v>
      </c>
      <c r="N73" t="s">
        <v>565</v>
      </c>
      <c r="O73">
        <v>6</v>
      </c>
      <c r="P73" t="s">
        <v>606</v>
      </c>
      <c r="Q73" s="6" t="s">
        <v>607</v>
      </c>
      <c r="R73" t="str">
        <f t="shared" si="3"/>
        <v>-</v>
      </c>
      <c r="S73" t="str">
        <f t="shared" si="3"/>
        <v>-</v>
      </c>
      <c r="T73" t="str">
        <f t="shared" si="3"/>
        <v>-</v>
      </c>
      <c r="U73" t="str">
        <f t="shared" si="3"/>
        <v>-</v>
      </c>
      <c r="V73" t="str">
        <f t="shared" si="4"/>
        <v>Pending</v>
      </c>
    </row>
    <row r="74" spans="1:22" ht="15" customHeight="1" x14ac:dyDescent="0.35">
      <c r="A74" t="s">
        <v>608</v>
      </c>
      <c r="B74" t="s">
        <v>557</v>
      </c>
      <c r="C74" t="s">
        <v>601</v>
      </c>
      <c r="D74" t="s">
        <v>23</v>
      </c>
      <c r="E74" t="s">
        <v>609</v>
      </c>
      <c r="F74" t="s">
        <v>610</v>
      </c>
      <c r="G74" t="s">
        <v>611</v>
      </c>
      <c r="H74" t="s">
        <v>443</v>
      </c>
      <c r="I74" t="s">
        <v>69</v>
      </c>
      <c r="J74">
        <v>9</v>
      </c>
      <c r="K74" t="s">
        <v>612</v>
      </c>
      <c r="L74" t="s">
        <v>613</v>
      </c>
      <c r="M74" t="s">
        <v>614</v>
      </c>
      <c r="N74" t="s">
        <v>565</v>
      </c>
      <c r="O74">
        <v>7</v>
      </c>
      <c r="P74" t="s">
        <v>615</v>
      </c>
      <c r="Q74" s="6" t="s">
        <v>616</v>
      </c>
      <c r="R74" t="str">
        <f t="shared" si="3"/>
        <v>-</v>
      </c>
      <c r="S74" t="str">
        <f t="shared" si="3"/>
        <v>-</v>
      </c>
      <c r="T74" t="str">
        <f t="shared" si="3"/>
        <v>-</v>
      </c>
      <c r="U74" t="str">
        <f t="shared" si="3"/>
        <v>-</v>
      </c>
      <c r="V74" t="str">
        <f t="shared" si="4"/>
        <v>Pending</v>
      </c>
    </row>
    <row r="75" spans="1:22" ht="15" customHeight="1" x14ac:dyDescent="0.35">
      <c r="A75" t="s">
        <v>617</v>
      </c>
      <c r="B75" t="s">
        <v>557</v>
      </c>
      <c r="C75" t="s">
        <v>601</v>
      </c>
      <c r="D75" t="s">
        <v>23</v>
      </c>
      <c r="E75" t="s">
        <v>618</v>
      </c>
      <c r="F75" t="s">
        <v>619</v>
      </c>
      <c r="G75" t="s">
        <v>620</v>
      </c>
      <c r="H75">
        <v>2027</v>
      </c>
      <c r="I75" t="s">
        <v>453</v>
      </c>
      <c r="J75">
        <v>7</v>
      </c>
      <c r="K75" t="s">
        <v>621</v>
      </c>
      <c r="L75" t="s">
        <v>622</v>
      </c>
      <c r="M75" t="s">
        <v>623</v>
      </c>
      <c r="N75" t="s">
        <v>565</v>
      </c>
      <c r="O75">
        <v>8</v>
      </c>
      <c r="P75" t="s">
        <v>624</v>
      </c>
      <c r="Q75" s="6" t="s">
        <v>625</v>
      </c>
      <c r="R75" t="str">
        <f t="shared" si="3"/>
        <v>-</v>
      </c>
      <c r="S75" t="str">
        <f t="shared" si="3"/>
        <v>-</v>
      </c>
      <c r="T75" t="str">
        <f t="shared" si="3"/>
        <v>-</v>
      </c>
      <c r="U75" t="str">
        <f t="shared" si="3"/>
        <v>-</v>
      </c>
      <c r="V75" t="str">
        <f t="shared" si="4"/>
        <v>Pending</v>
      </c>
    </row>
    <row r="76" spans="1:22" ht="15" customHeight="1" x14ac:dyDescent="0.35">
      <c r="A76" t="s">
        <v>626</v>
      </c>
      <c r="B76" t="s">
        <v>557</v>
      </c>
      <c r="C76" t="s">
        <v>601</v>
      </c>
      <c r="D76" t="s">
        <v>23</v>
      </c>
      <c r="E76" t="s">
        <v>627</v>
      </c>
      <c r="F76" t="s">
        <v>628</v>
      </c>
      <c r="G76" t="s">
        <v>629</v>
      </c>
      <c r="H76">
        <v>2026</v>
      </c>
      <c r="I76" t="s">
        <v>453</v>
      </c>
      <c r="J76">
        <v>8</v>
      </c>
      <c r="K76" t="s">
        <v>630</v>
      </c>
      <c r="L76" t="s">
        <v>563</v>
      </c>
      <c r="M76" t="s">
        <v>631</v>
      </c>
      <c r="N76" t="s">
        <v>565</v>
      </c>
      <c r="O76">
        <v>9</v>
      </c>
      <c r="P76" t="s">
        <v>632</v>
      </c>
      <c r="Q76" s="6" t="s">
        <v>633</v>
      </c>
      <c r="R76" t="str">
        <f t="shared" si="3"/>
        <v>-</v>
      </c>
      <c r="S76" t="str">
        <f t="shared" si="3"/>
        <v>-</v>
      </c>
      <c r="T76" t="str">
        <f t="shared" si="3"/>
        <v>-</v>
      </c>
      <c r="U76" t="str">
        <f t="shared" si="3"/>
        <v>-</v>
      </c>
      <c r="V76" t="str">
        <f t="shared" si="4"/>
        <v>Pending</v>
      </c>
    </row>
    <row r="77" spans="1:22" ht="15" customHeight="1" x14ac:dyDescent="0.35">
      <c r="A77" t="s">
        <v>634</v>
      </c>
      <c r="B77" t="s">
        <v>557</v>
      </c>
      <c r="C77" t="s">
        <v>601</v>
      </c>
      <c r="D77" t="s">
        <v>48</v>
      </c>
      <c r="E77" t="s">
        <v>635</v>
      </c>
      <c r="F77" t="s">
        <v>636</v>
      </c>
      <c r="G77" t="s">
        <v>637</v>
      </c>
      <c r="H77">
        <v>2026</v>
      </c>
      <c r="I77" t="s">
        <v>27</v>
      </c>
      <c r="J77">
        <v>8</v>
      </c>
      <c r="K77" t="s">
        <v>638</v>
      </c>
      <c r="L77" t="s">
        <v>563</v>
      </c>
      <c r="M77" t="s">
        <v>639</v>
      </c>
      <c r="N77" t="s">
        <v>565</v>
      </c>
      <c r="O77">
        <v>10</v>
      </c>
      <c r="P77" t="s">
        <v>640</v>
      </c>
      <c r="Q77" s="6" t="s">
        <v>641</v>
      </c>
      <c r="R77" t="str">
        <f t="shared" si="3"/>
        <v>-</v>
      </c>
      <c r="S77" t="str">
        <f t="shared" si="3"/>
        <v>-</v>
      </c>
      <c r="T77" t="str">
        <f t="shared" si="3"/>
        <v>-</v>
      </c>
      <c r="U77" t="str">
        <f t="shared" si="3"/>
        <v>-</v>
      </c>
      <c r="V77" t="str">
        <f t="shared" si="4"/>
        <v>Pending</v>
      </c>
    </row>
    <row r="78" spans="1:22" ht="15" customHeight="1" x14ac:dyDescent="0.35">
      <c r="A78" t="s">
        <v>642</v>
      </c>
      <c r="B78" t="s">
        <v>557</v>
      </c>
      <c r="C78" t="s">
        <v>601</v>
      </c>
      <c r="D78" t="s">
        <v>248</v>
      </c>
      <c r="E78" t="s">
        <v>643</v>
      </c>
      <c r="F78" t="s">
        <v>644</v>
      </c>
      <c r="G78" t="s">
        <v>645</v>
      </c>
      <c r="H78">
        <v>2027</v>
      </c>
      <c r="I78" t="s">
        <v>69</v>
      </c>
      <c r="J78">
        <v>9</v>
      </c>
      <c r="K78" t="s">
        <v>646</v>
      </c>
      <c r="L78" t="s">
        <v>318</v>
      </c>
      <c r="M78" t="s">
        <v>647</v>
      </c>
      <c r="N78" t="s">
        <v>565</v>
      </c>
      <c r="O78">
        <v>11</v>
      </c>
      <c r="P78" t="s">
        <v>648</v>
      </c>
      <c r="Q78" s="6" t="s">
        <v>649</v>
      </c>
      <c r="R78" t="str">
        <f t="shared" si="3"/>
        <v>Pending</v>
      </c>
      <c r="S78" t="str">
        <f t="shared" si="3"/>
        <v>Pending</v>
      </c>
      <c r="T78" t="str">
        <f t="shared" si="3"/>
        <v>Pending</v>
      </c>
      <c r="U78" t="str">
        <f t="shared" si="3"/>
        <v>Pending</v>
      </c>
      <c r="V78" t="str">
        <f t="shared" si="4"/>
        <v>-</v>
      </c>
    </row>
    <row r="79" spans="1:22" ht="15" customHeight="1" x14ac:dyDescent="0.35">
      <c r="A79" t="s">
        <v>650</v>
      </c>
      <c r="B79" t="s">
        <v>557</v>
      </c>
      <c r="C79" t="s">
        <v>601</v>
      </c>
      <c r="D79" t="s">
        <v>356</v>
      </c>
      <c r="E79" t="s">
        <v>651</v>
      </c>
      <c r="F79" t="s">
        <v>603</v>
      </c>
      <c r="G79" t="s">
        <v>652</v>
      </c>
      <c r="H79">
        <v>2027</v>
      </c>
      <c r="I79" t="s">
        <v>69</v>
      </c>
      <c r="J79">
        <v>9</v>
      </c>
      <c r="K79" t="s">
        <v>653</v>
      </c>
      <c r="L79" t="s">
        <v>150</v>
      </c>
      <c r="M79" t="s">
        <v>654</v>
      </c>
      <c r="N79" t="s">
        <v>565</v>
      </c>
      <c r="O79">
        <v>12</v>
      </c>
      <c r="P79" t="s">
        <v>655</v>
      </c>
      <c r="Q79" s="6" t="s">
        <v>656</v>
      </c>
      <c r="R79" t="str">
        <f t="shared" si="3"/>
        <v>Pending</v>
      </c>
      <c r="S79" t="str">
        <f t="shared" si="3"/>
        <v>Pending</v>
      </c>
      <c r="T79" t="str">
        <f t="shared" si="3"/>
        <v>Pending</v>
      </c>
      <c r="U79" t="str">
        <f t="shared" si="3"/>
        <v>Pending</v>
      </c>
      <c r="V79" t="str">
        <f t="shared" si="4"/>
        <v>Pending</v>
      </c>
    </row>
    <row r="80" spans="1:22" ht="15" customHeight="1" x14ac:dyDescent="0.35">
      <c r="A80" t="s">
        <v>657</v>
      </c>
      <c r="B80" t="s">
        <v>557</v>
      </c>
      <c r="C80" t="s">
        <v>601</v>
      </c>
      <c r="D80" t="s">
        <v>48</v>
      </c>
      <c r="E80" t="s">
        <v>658</v>
      </c>
      <c r="F80" t="s">
        <v>659</v>
      </c>
      <c r="G80" t="s">
        <v>660</v>
      </c>
      <c r="H80">
        <v>2026</v>
      </c>
      <c r="I80" t="s">
        <v>27</v>
      </c>
      <c r="J80">
        <v>6</v>
      </c>
      <c r="K80" t="s">
        <v>661</v>
      </c>
      <c r="L80" t="s">
        <v>515</v>
      </c>
      <c r="M80" t="s">
        <v>662</v>
      </c>
      <c r="N80" t="s">
        <v>565</v>
      </c>
      <c r="O80">
        <v>13</v>
      </c>
      <c r="P80" t="s">
        <v>663</v>
      </c>
      <c r="Q80" s="6" t="s">
        <v>664</v>
      </c>
      <c r="R80" t="str">
        <f t="shared" si="3"/>
        <v>-</v>
      </c>
      <c r="S80" t="str">
        <f t="shared" si="3"/>
        <v>-</v>
      </c>
      <c r="T80" t="str">
        <f t="shared" si="3"/>
        <v>-</v>
      </c>
      <c r="U80" t="str">
        <f t="shared" si="3"/>
        <v>-</v>
      </c>
      <c r="V80" t="str">
        <f t="shared" si="4"/>
        <v>-</v>
      </c>
    </row>
    <row r="81" spans="1:22" ht="15" customHeight="1" x14ac:dyDescent="0.35">
      <c r="A81" t="s">
        <v>665</v>
      </c>
      <c r="B81" t="s">
        <v>557</v>
      </c>
      <c r="C81" t="s">
        <v>601</v>
      </c>
      <c r="D81" t="s">
        <v>75</v>
      </c>
      <c r="E81" t="s">
        <v>666</v>
      </c>
      <c r="F81" t="s">
        <v>667</v>
      </c>
      <c r="G81" t="s">
        <v>668</v>
      </c>
      <c r="H81">
        <v>2026</v>
      </c>
      <c r="I81" t="s">
        <v>27</v>
      </c>
      <c r="J81">
        <v>8</v>
      </c>
      <c r="K81" t="s">
        <v>669</v>
      </c>
      <c r="L81" t="s">
        <v>52</v>
      </c>
      <c r="M81" t="s">
        <v>670</v>
      </c>
      <c r="N81" t="s">
        <v>565</v>
      </c>
      <c r="O81">
        <v>14</v>
      </c>
      <c r="P81" t="s">
        <v>671</v>
      </c>
      <c r="Q81" s="6" t="s">
        <v>672</v>
      </c>
      <c r="R81" t="str">
        <f t="shared" si="3"/>
        <v>Pending</v>
      </c>
      <c r="S81" t="str">
        <f t="shared" si="3"/>
        <v>Pending</v>
      </c>
      <c r="T81" t="str">
        <f t="shared" si="3"/>
        <v>Pending</v>
      </c>
      <c r="U81" t="str">
        <f t="shared" si="3"/>
        <v>Pending</v>
      </c>
      <c r="V81" t="str">
        <f t="shared" si="4"/>
        <v>-</v>
      </c>
    </row>
    <row r="82" spans="1:22" ht="15" customHeight="1" x14ac:dyDescent="0.35">
      <c r="A82" t="s">
        <v>673</v>
      </c>
      <c r="B82" t="s">
        <v>557</v>
      </c>
      <c r="C82" t="s">
        <v>674</v>
      </c>
      <c r="D82" t="s">
        <v>23</v>
      </c>
      <c r="E82" t="s">
        <v>675</v>
      </c>
      <c r="F82" t="s">
        <v>676</v>
      </c>
      <c r="G82" t="s">
        <v>677</v>
      </c>
      <c r="H82">
        <v>2026</v>
      </c>
      <c r="I82" t="s">
        <v>27</v>
      </c>
      <c r="J82">
        <v>8</v>
      </c>
      <c r="K82" t="s">
        <v>678</v>
      </c>
      <c r="L82" t="s">
        <v>679</v>
      </c>
      <c r="M82" t="s">
        <v>680</v>
      </c>
      <c r="N82" t="s">
        <v>565</v>
      </c>
      <c r="O82">
        <v>15</v>
      </c>
      <c r="P82" t="s">
        <v>681</v>
      </c>
      <c r="Q82" s="6" t="s">
        <v>682</v>
      </c>
      <c r="R82" t="str">
        <f t="shared" si="3"/>
        <v>Pending</v>
      </c>
      <c r="S82" t="str">
        <f t="shared" si="3"/>
        <v>Pending</v>
      </c>
      <c r="T82" t="str">
        <f t="shared" si="3"/>
        <v>Pending</v>
      </c>
      <c r="U82" t="str">
        <f t="shared" si="3"/>
        <v>Pending</v>
      </c>
      <c r="V82" t="str">
        <f t="shared" si="4"/>
        <v>Pending</v>
      </c>
    </row>
    <row r="83" spans="1:22" ht="15" customHeight="1" x14ac:dyDescent="0.35">
      <c r="A83" t="s">
        <v>683</v>
      </c>
      <c r="B83" t="s">
        <v>557</v>
      </c>
      <c r="C83" t="s">
        <v>674</v>
      </c>
      <c r="D83" t="s">
        <v>23</v>
      </c>
      <c r="E83" t="s">
        <v>684</v>
      </c>
      <c r="F83" t="s">
        <v>685</v>
      </c>
      <c r="G83" t="s">
        <v>611</v>
      </c>
      <c r="H83" t="s">
        <v>443</v>
      </c>
      <c r="I83" t="s">
        <v>27</v>
      </c>
      <c r="J83">
        <v>9</v>
      </c>
      <c r="K83" t="s">
        <v>686</v>
      </c>
      <c r="L83" t="s">
        <v>687</v>
      </c>
      <c r="M83" t="s">
        <v>688</v>
      </c>
      <c r="N83" t="s">
        <v>565</v>
      </c>
      <c r="O83">
        <v>16</v>
      </c>
      <c r="P83" t="s">
        <v>689</v>
      </c>
      <c r="Q83" s="6" t="s">
        <v>690</v>
      </c>
      <c r="R83" t="str">
        <f t="shared" si="3"/>
        <v>Pending</v>
      </c>
      <c r="S83" t="str">
        <f t="shared" si="3"/>
        <v>Pending</v>
      </c>
      <c r="T83" t="str">
        <f t="shared" si="3"/>
        <v>Pending</v>
      </c>
      <c r="U83" t="str">
        <f t="shared" si="3"/>
        <v>Pending</v>
      </c>
      <c r="V83" t="str">
        <f t="shared" si="4"/>
        <v>Pending</v>
      </c>
    </row>
    <row r="84" spans="1:22" ht="15" customHeight="1" x14ac:dyDescent="0.35">
      <c r="A84" t="s">
        <v>691</v>
      </c>
      <c r="B84" t="s">
        <v>557</v>
      </c>
      <c r="C84" t="s">
        <v>674</v>
      </c>
      <c r="D84" t="s">
        <v>23</v>
      </c>
      <c r="E84" t="s">
        <v>692</v>
      </c>
      <c r="F84" t="s">
        <v>693</v>
      </c>
      <c r="G84" t="s">
        <v>694</v>
      </c>
      <c r="H84" t="s">
        <v>443</v>
      </c>
      <c r="I84" t="s">
        <v>27</v>
      </c>
      <c r="J84">
        <v>8</v>
      </c>
      <c r="K84" t="s">
        <v>695</v>
      </c>
      <c r="L84" t="s">
        <v>696</v>
      </c>
      <c r="M84" t="s">
        <v>697</v>
      </c>
      <c r="N84" t="s">
        <v>565</v>
      </c>
      <c r="O84">
        <v>17</v>
      </c>
      <c r="P84" t="s">
        <v>698</v>
      </c>
      <c r="Q84" s="6" t="s">
        <v>699</v>
      </c>
      <c r="R84" t="str">
        <f t="shared" si="3"/>
        <v>Pending</v>
      </c>
      <c r="S84" t="str">
        <f t="shared" si="3"/>
        <v>Pending</v>
      </c>
      <c r="T84" t="str">
        <f t="shared" si="3"/>
        <v>Pending</v>
      </c>
      <c r="U84" t="str">
        <f t="shared" si="3"/>
        <v>Pending</v>
      </c>
      <c r="V84" t="str">
        <f t="shared" si="4"/>
        <v>Pending</v>
      </c>
    </row>
    <row r="85" spans="1:22" ht="15" customHeight="1" x14ac:dyDescent="0.35">
      <c r="A85" t="s">
        <v>700</v>
      </c>
      <c r="B85" t="s">
        <v>557</v>
      </c>
      <c r="C85" t="s">
        <v>701</v>
      </c>
      <c r="D85" t="s">
        <v>23</v>
      </c>
      <c r="E85" t="s">
        <v>702</v>
      </c>
      <c r="F85" t="s">
        <v>610</v>
      </c>
      <c r="G85" t="s">
        <v>703</v>
      </c>
      <c r="H85">
        <v>2027</v>
      </c>
      <c r="I85" t="s">
        <v>453</v>
      </c>
      <c r="J85">
        <v>9</v>
      </c>
      <c r="K85" t="s">
        <v>704</v>
      </c>
      <c r="L85" t="s">
        <v>705</v>
      </c>
      <c r="M85" t="s">
        <v>706</v>
      </c>
      <c r="N85" t="s">
        <v>565</v>
      </c>
      <c r="O85">
        <v>18</v>
      </c>
      <c r="P85" t="s">
        <v>707</v>
      </c>
      <c r="Q85" s="6" t="s">
        <v>708</v>
      </c>
      <c r="R85" t="str">
        <f t="shared" si="3"/>
        <v>-</v>
      </c>
      <c r="S85" t="str">
        <f t="shared" si="3"/>
        <v>-</v>
      </c>
      <c r="T85" t="str">
        <f t="shared" si="3"/>
        <v>-</v>
      </c>
      <c r="U85" t="str">
        <f t="shared" si="3"/>
        <v>-</v>
      </c>
      <c r="V85" t="str">
        <f t="shared" si="4"/>
        <v>Pending</v>
      </c>
    </row>
    <row r="86" spans="1:22" ht="15" customHeight="1" x14ac:dyDescent="0.35">
      <c r="A86" t="s">
        <v>709</v>
      </c>
      <c r="B86" t="s">
        <v>557</v>
      </c>
      <c r="C86" t="s">
        <v>701</v>
      </c>
      <c r="D86" t="s">
        <v>23</v>
      </c>
      <c r="E86" t="s">
        <v>710</v>
      </c>
      <c r="F86" t="s">
        <v>711</v>
      </c>
      <c r="G86" t="s">
        <v>712</v>
      </c>
      <c r="H86" t="s">
        <v>443</v>
      </c>
      <c r="I86" t="s">
        <v>69</v>
      </c>
      <c r="J86">
        <v>9</v>
      </c>
      <c r="K86" t="s">
        <v>713</v>
      </c>
      <c r="L86" t="s">
        <v>150</v>
      </c>
      <c r="M86" t="s">
        <v>714</v>
      </c>
      <c r="N86" t="s">
        <v>565</v>
      </c>
      <c r="O86">
        <v>19</v>
      </c>
      <c r="P86" t="s">
        <v>715</v>
      </c>
      <c r="Q86" s="6" t="s">
        <v>716</v>
      </c>
      <c r="R86" t="str">
        <f t="shared" si="3"/>
        <v>Pending</v>
      </c>
      <c r="S86" t="str">
        <f t="shared" si="3"/>
        <v>Pending</v>
      </c>
      <c r="T86" t="str">
        <f t="shared" si="3"/>
        <v>Pending</v>
      </c>
      <c r="U86" t="str">
        <f t="shared" si="3"/>
        <v>Pending</v>
      </c>
      <c r="V86" t="str">
        <f t="shared" si="4"/>
        <v>Pending</v>
      </c>
    </row>
    <row r="87" spans="1:22" ht="15" customHeight="1" x14ac:dyDescent="0.35">
      <c r="A87" t="s">
        <v>717</v>
      </c>
      <c r="B87" t="s">
        <v>557</v>
      </c>
      <c r="C87" t="s">
        <v>701</v>
      </c>
      <c r="D87" t="s">
        <v>248</v>
      </c>
      <c r="E87" t="s">
        <v>718</v>
      </c>
      <c r="F87" t="s">
        <v>711</v>
      </c>
      <c r="G87" t="s">
        <v>719</v>
      </c>
      <c r="H87" t="s">
        <v>443</v>
      </c>
      <c r="I87" t="s">
        <v>27</v>
      </c>
      <c r="J87">
        <v>8</v>
      </c>
      <c r="K87" t="s">
        <v>720</v>
      </c>
      <c r="L87" t="s">
        <v>150</v>
      </c>
      <c r="M87" t="s">
        <v>721</v>
      </c>
      <c r="N87" t="s">
        <v>565</v>
      </c>
      <c r="O87">
        <v>20</v>
      </c>
      <c r="P87" t="s">
        <v>722</v>
      </c>
      <c r="Q87" s="6" t="s">
        <v>723</v>
      </c>
      <c r="R87" t="str">
        <f t="shared" si="3"/>
        <v>Pending</v>
      </c>
      <c r="S87" t="str">
        <f t="shared" si="3"/>
        <v>Pending</v>
      </c>
      <c r="T87" t="str">
        <f t="shared" si="3"/>
        <v>Pending</v>
      </c>
      <c r="U87" t="str">
        <f t="shared" si="3"/>
        <v>Pending</v>
      </c>
      <c r="V87" t="str">
        <f t="shared" si="4"/>
        <v>Pending</v>
      </c>
    </row>
  </sheetData>
  <autoFilter ref="H1:H87" xr:uid="{00000000-0001-0000-0000-000000000000}"/>
  <sortState xmlns:xlrd2="http://schemas.microsoft.com/office/spreadsheetml/2017/richdata2" ref="A2:Q87">
    <sortCondition ref="N2:N87"/>
    <sortCondition ref="O2:O87"/>
  </sortState>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901CD812-E6D6-4B6B-BFCF-FCF71ACEA0D9}">
          <x14:formula1>
            <xm:f>Sheet2!$A$1:$A$4</xm:f>
          </x14:formula1>
          <xm:sqref>R1:U1048576</xm:sqref>
        </x14:dataValidation>
        <x14:dataValidation type="list" allowBlank="1" showInputMessage="1" showErrorMessage="1" xr:uid="{7729D7AE-F405-4C99-AEF5-182788479DC4}">
          <x14:formula1>
            <xm:f>Sheet2!$A$1:$A$5</xm:f>
          </x14:formula1>
          <xm:sqref>V1:V1048576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273F-2800-401D-A3B2-282F0C24EDE1}">
  <dimension ref="A1:A5"/>
  <sheetViews>
    <sheetView workbookViewId="0">
      <selection activeCell="B6" sqref="B6"/>
    </sheetView>
  </sheetViews>
  <sheetFormatPr defaultRowHeight="14.5" x14ac:dyDescent="0.35"/>
  <sheetData>
    <row r="1" spans="1:1" x14ac:dyDescent="0.35">
      <c r="A1" t="s">
        <v>724</v>
      </c>
    </row>
    <row r="2" spans="1:1" x14ac:dyDescent="0.35">
      <c r="A2" t="s">
        <v>725</v>
      </c>
    </row>
    <row r="3" spans="1:1" x14ac:dyDescent="0.35">
      <c r="A3" t="s">
        <v>726</v>
      </c>
    </row>
    <row r="4" spans="1:1" x14ac:dyDescent="0.35">
      <c r="A4" t="s">
        <v>727</v>
      </c>
    </row>
    <row r="5" spans="1:1" x14ac:dyDescent="0.35">
      <c r="A5" t="s">
        <v>563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842981e62b39ba9a6b6fb0d71fdc599b">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611ef7b7c6b11af767b95534cdda6758"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Props1.xml><?xml version="1.0" encoding="utf-8"?>
<ds:datastoreItem xmlns:ds="http://schemas.openxmlformats.org/officeDocument/2006/customXml" ds:itemID="{14E8FD40-2003-4826-BD3B-EB620B283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B4A97D-0390-429E-AA03-4F97F7FF7DBA}">
  <ds:schemaRefs>
    <ds:schemaRef ds:uri="http://schemas.microsoft.com/sharepoint/v3/contenttype/forms"/>
  </ds:schemaRefs>
</ds:datastoreItem>
</file>

<file path=customXml/itemProps3.xml><?xml version="1.0" encoding="utf-8"?>
<ds:datastoreItem xmlns:ds="http://schemas.openxmlformats.org/officeDocument/2006/customXml" ds:itemID="{B988E1EC-18C0-443E-A70E-0CDAFCFD5C18}">
  <ds:schemaRefs>
    <ds:schemaRef ds:uri="http://schemas.microsoft.com/office/2006/metadata/properties"/>
    <ds:schemaRef ds:uri="http://schemas.microsoft.com/office/infopath/2007/PartnerControls"/>
    <ds:schemaRef ds:uri="97b66f12-2b99-4af9-8dd0-4615ba9e34cf"/>
    <ds:schemaRef ds:uri="682daa6a-fc4e-47a4-bc9a-068fc2d765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Scout Chisholm McKee</cp:lastModifiedBy>
  <cp:revision/>
  <dcterms:created xsi:type="dcterms:W3CDTF">2025-12-12T13:30:38Z</dcterms:created>
  <dcterms:modified xsi:type="dcterms:W3CDTF">2026-02-05T14:45:51Z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