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nbcloud-my.sharepoint.com/personal/t9v3a_unb_ca/Documents/Desktop/atlantic_roadmap/"/>
    </mc:Choice>
  </mc:AlternateContent>
  <xr:revisionPtr revIDLastSave="601" documentId="8_{DA17D932-0253-4F0D-9CB0-FBB683D6B4B8}" xr6:coauthVersionLast="47" xr6:coauthVersionMax="47" xr10:uidLastSave="{6157D866-48FA-4245-9310-4B07F1AF2E0E}"/>
  <bookViews>
    <workbookView xWindow="-110" yWindow="-110" windowWidth="19420" windowHeight="10300" xr2:uid="{00000000-000D-0000-FFFF-FFFF00000000}"/>
  </bookViews>
  <sheets>
    <sheet name="Sheet1" sheetId="1" r:id="rId1"/>
  </sheets>
  <definedNames>
    <definedName name="_xlnm._FilterDatabase" localSheetId="0" hidden="1">Sheet1!$B$1:$B$71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6" i="1"/>
  <c r="W8" i="1"/>
  <c r="W9" i="1"/>
  <c r="W10" i="1"/>
  <c r="W13" i="1"/>
  <c r="W14" i="1"/>
  <c r="W16" i="1"/>
  <c r="W18" i="1"/>
  <c r="W19" i="1"/>
  <c r="W20" i="1"/>
  <c r="W21" i="1"/>
  <c r="W22" i="1"/>
  <c r="W23" i="1"/>
  <c r="W25" i="1"/>
  <c r="W26" i="1"/>
  <c r="W27" i="1"/>
  <c r="W28" i="1"/>
  <c r="W30" i="1"/>
  <c r="W31" i="1"/>
  <c r="W32" i="1"/>
  <c r="W33" i="1"/>
  <c r="W35" i="1"/>
  <c r="W38" i="1"/>
  <c r="W39" i="1"/>
  <c r="W40" i="1"/>
  <c r="W41" i="1"/>
  <c r="W51" i="1"/>
  <c r="W53" i="1"/>
  <c r="W56" i="1"/>
  <c r="W36" i="1"/>
  <c r="W37" i="1"/>
  <c r="W42" i="1"/>
  <c r="W48" i="1"/>
  <c r="W49" i="1"/>
  <c r="W5" i="1"/>
  <c r="W7" i="1"/>
  <c r="W11" i="1"/>
  <c r="W12" i="1"/>
  <c r="W15" i="1"/>
  <c r="W17" i="1"/>
  <c r="W29" i="1"/>
  <c r="W43" i="1"/>
  <c r="W44" i="1"/>
  <c r="W45" i="1"/>
  <c r="W46" i="1"/>
  <c r="W47" i="1"/>
  <c r="W50" i="1"/>
  <c r="W52" i="1"/>
  <c r="W54" i="1"/>
  <c r="W55" i="1"/>
  <c r="W24" i="1"/>
  <c r="W34" i="1"/>
  <c r="W2" i="1"/>
  <c r="T2" i="1"/>
  <c r="U2" i="1"/>
  <c r="V2" i="1"/>
  <c r="T3" i="1"/>
  <c r="U3" i="1"/>
  <c r="V3" i="1"/>
  <c r="T4" i="1"/>
  <c r="U4" i="1"/>
  <c r="V4" i="1"/>
  <c r="T6" i="1"/>
  <c r="U6" i="1"/>
  <c r="V6" i="1"/>
  <c r="T8" i="1"/>
  <c r="U8" i="1"/>
  <c r="V8" i="1"/>
  <c r="T9" i="1"/>
  <c r="U9" i="1"/>
  <c r="V9" i="1"/>
  <c r="T10" i="1"/>
  <c r="U10" i="1"/>
  <c r="V10" i="1"/>
  <c r="T13" i="1"/>
  <c r="U13" i="1"/>
  <c r="V13" i="1"/>
  <c r="T14" i="1"/>
  <c r="U14" i="1"/>
  <c r="V14" i="1"/>
  <c r="T16" i="1"/>
  <c r="U16" i="1"/>
  <c r="V16" i="1"/>
  <c r="T18" i="1"/>
  <c r="U18" i="1"/>
  <c r="V18" i="1"/>
  <c r="T19" i="1"/>
  <c r="U19" i="1"/>
  <c r="V19" i="1"/>
  <c r="T20" i="1"/>
  <c r="U20" i="1"/>
  <c r="V20" i="1"/>
  <c r="T21" i="1"/>
  <c r="U21" i="1"/>
  <c r="V21" i="1"/>
  <c r="T22" i="1"/>
  <c r="U22" i="1"/>
  <c r="V22" i="1"/>
  <c r="T23" i="1"/>
  <c r="U23" i="1"/>
  <c r="V23" i="1"/>
  <c r="T25" i="1"/>
  <c r="U25" i="1"/>
  <c r="V25" i="1"/>
  <c r="T26" i="1"/>
  <c r="U26" i="1"/>
  <c r="V26" i="1"/>
  <c r="T27" i="1"/>
  <c r="U27" i="1"/>
  <c r="V27" i="1"/>
  <c r="T28" i="1"/>
  <c r="U28" i="1"/>
  <c r="V28" i="1"/>
  <c r="T30" i="1"/>
  <c r="U30" i="1"/>
  <c r="V30" i="1"/>
  <c r="T31" i="1"/>
  <c r="U31" i="1"/>
  <c r="V31" i="1"/>
  <c r="T32" i="1"/>
  <c r="U32" i="1"/>
  <c r="V32" i="1"/>
  <c r="T33" i="1"/>
  <c r="U33" i="1"/>
  <c r="V33" i="1"/>
  <c r="T35" i="1"/>
  <c r="U35" i="1"/>
  <c r="V35" i="1"/>
  <c r="T38" i="1"/>
  <c r="U38" i="1"/>
  <c r="V38" i="1"/>
  <c r="T39" i="1"/>
  <c r="U39" i="1"/>
  <c r="V39" i="1"/>
  <c r="T40" i="1"/>
  <c r="U40" i="1"/>
  <c r="V40" i="1"/>
  <c r="T41" i="1"/>
  <c r="U41" i="1"/>
  <c r="V41" i="1"/>
  <c r="T51" i="1"/>
  <c r="U51" i="1"/>
  <c r="V51" i="1"/>
  <c r="T53" i="1"/>
  <c r="U53" i="1"/>
  <c r="V53" i="1"/>
  <c r="T56" i="1"/>
  <c r="U56" i="1"/>
  <c r="V56" i="1"/>
  <c r="T36" i="1"/>
  <c r="U36" i="1"/>
  <c r="V36" i="1"/>
  <c r="T37" i="1"/>
  <c r="U37" i="1"/>
  <c r="V37" i="1"/>
  <c r="T42" i="1"/>
  <c r="U42" i="1"/>
  <c r="V42" i="1"/>
  <c r="T48" i="1"/>
  <c r="U48" i="1"/>
  <c r="V48" i="1"/>
  <c r="T49" i="1"/>
  <c r="U49" i="1"/>
  <c r="V49" i="1"/>
  <c r="T5" i="1"/>
  <c r="U5" i="1"/>
  <c r="V5" i="1"/>
  <c r="T7" i="1"/>
  <c r="U7" i="1"/>
  <c r="V7" i="1"/>
  <c r="T11" i="1"/>
  <c r="U11" i="1"/>
  <c r="V11" i="1"/>
  <c r="T12" i="1"/>
  <c r="U12" i="1"/>
  <c r="V12" i="1"/>
  <c r="T15" i="1"/>
  <c r="U15" i="1"/>
  <c r="V15" i="1"/>
  <c r="T17" i="1"/>
  <c r="U17" i="1"/>
  <c r="V17" i="1"/>
  <c r="T29" i="1"/>
  <c r="U29" i="1"/>
  <c r="V29" i="1"/>
  <c r="T43" i="1"/>
  <c r="U43" i="1"/>
  <c r="V43" i="1"/>
  <c r="T44" i="1"/>
  <c r="U44" i="1"/>
  <c r="V44" i="1"/>
  <c r="T45" i="1"/>
  <c r="U45" i="1"/>
  <c r="V45" i="1"/>
  <c r="T46" i="1"/>
  <c r="U46" i="1"/>
  <c r="V46" i="1"/>
  <c r="T47" i="1"/>
  <c r="U47" i="1"/>
  <c r="V47" i="1"/>
  <c r="T50" i="1"/>
  <c r="U50" i="1"/>
  <c r="V50" i="1"/>
  <c r="T52" i="1"/>
  <c r="U52" i="1"/>
  <c r="V52" i="1"/>
  <c r="T54" i="1"/>
  <c r="U54" i="1"/>
  <c r="V54" i="1"/>
  <c r="T55" i="1"/>
  <c r="U55" i="1"/>
  <c r="V55" i="1"/>
  <c r="T24" i="1"/>
  <c r="U24" i="1"/>
  <c r="V24" i="1"/>
  <c r="T34" i="1"/>
  <c r="U34" i="1"/>
  <c r="V34" i="1"/>
  <c r="S3" i="1"/>
  <c r="S4" i="1"/>
  <c r="S6" i="1"/>
  <c r="S8" i="1"/>
  <c r="S9" i="1"/>
  <c r="S10" i="1"/>
  <c r="S13" i="1"/>
  <c r="S14" i="1"/>
  <c r="S16" i="1"/>
  <c r="S18" i="1"/>
  <c r="S19" i="1"/>
  <c r="S20" i="1"/>
  <c r="S21" i="1"/>
  <c r="S22" i="1"/>
  <c r="S23" i="1"/>
  <c r="S25" i="1"/>
  <c r="S26" i="1"/>
  <c r="S27" i="1"/>
  <c r="S28" i="1"/>
  <c r="S30" i="1"/>
  <c r="S31" i="1"/>
  <c r="S32" i="1"/>
  <c r="S33" i="1"/>
  <c r="S35" i="1"/>
  <c r="S38" i="1"/>
  <c r="S39" i="1"/>
  <c r="S40" i="1"/>
  <c r="S41" i="1"/>
  <c r="S51" i="1"/>
  <c r="S53" i="1"/>
  <c r="S56" i="1"/>
  <c r="S36" i="1"/>
  <c r="S37" i="1"/>
  <c r="S42" i="1"/>
  <c r="S48" i="1"/>
  <c r="S49" i="1"/>
  <c r="S5" i="1"/>
  <c r="S7" i="1"/>
  <c r="S11" i="1"/>
  <c r="S12" i="1"/>
  <c r="S15" i="1"/>
  <c r="S17" i="1"/>
  <c r="S29" i="1"/>
  <c r="S43" i="1"/>
  <c r="S44" i="1"/>
  <c r="S45" i="1"/>
  <c r="S46" i="1"/>
  <c r="S47" i="1"/>
  <c r="S50" i="1"/>
  <c r="S52" i="1"/>
  <c r="S54" i="1"/>
  <c r="S55" i="1"/>
  <c r="S24" i="1"/>
  <c r="S34" i="1"/>
  <c r="S2" i="1"/>
  <c r="Q19" i="1" a="1"/>
  <c r="Q19" i="1" s="1"/>
  <c r="Q20" i="1" a="1"/>
  <c r="Q20" i="1" s="1"/>
  <c r="Q21" i="1" a="1"/>
  <c r="Q21" i="1" s="1"/>
  <c r="Q22" i="1" a="1"/>
  <c r="Q22" i="1" s="1"/>
  <c r="Q23" i="1" a="1"/>
  <c r="Q23" i="1" s="1"/>
  <c r="Q25" i="1" a="1"/>
  <c r="Q25" i="1" s="1"/>
  <c r="Q26" i="1" a="1"/>
  <c r="Q26" i="1" s="1"/>
  <c r="Q27" i="1" a="1"/>
  <c r="Q27" i="1" s="1"/>
  <c r="Q28" i="1" a="1"/>
  <c r="Q28" i="1" s="1"/>
  <c r="Q30" i="1" a="1"/>
  <c r="Q30" i="1" s="1"/>
  <c r="Q31" i="1" a="1"/>
  <c r="Q31" i="1" s="1"/>
  <c r="Q32" i="1" a="1"/>
  <c r="Q32" i="1" s="1"/>
  <c r="Q33" i="1" a="1"/>
  <c r="Q33" i="1" s="1"/>
  <c r="Q35" i="1" a="1"/>
  <c r="Q35" i="1" s="1"/>
  <c r="Q38" i="1" a="1"/>
  <c r="Q38" i="1" s="1"/>
  <c r="Q39" i="1" a="1"/>
  <c r="Q39" i="1" s="1"/>
  <c r="Q40" i="1" a="1"/>
  <c r="Q40" i="1" s="1"/>
  <c r="Q41" i="1" a="1"/>
  <c r="Q41" i="1" s="1"/>
  <c r="Q51" i="1" a="1"/>
  <c r="Q51" i="1" s="1"/>
  <c r="Q53" i="1" a="1"/>
  <c r="Q53" i="1" s="1"/>
  <c r="Q56" i="1" a="1"/>
  <c r="Q56" i="1" s="1"/>
  <c r="Q36" i="1" a="1"/>
  <c r="Q36" i="1" s="1"/>
  <c r="Q37" i="1" a="1"/>
  <c r="Q37" i="1" s="1"/>
  <c r="Q42" i="1" a="1"/>
  <c r="Q42" i="1" s="1"/>
  <c r="Q48" i="1" a="1"/>
  <c r="Q48" i="1" s="1"/>
  <c r="Q49" i="1" a="1"/>
  <c r="Q49" i="1" s="1"/>
  <c r="Q24" i="1" a="1"/>
  <c r="Q24" i="1"/>
  <c r="Q34" i="1" a="1"/>
  <c r="Q34" i="1"/>
  <c r="Q5" i="1" a="1"/>
  <c r="Q5" i="1" s="1"/>
  <c r="Q7" i="1" a="1"/>
  <c r="Q7" i="1" s="1"/>
  <c r="Q11" i="1" a="1"/>
  <c r="Q11" i="1" s="1"/>
  <c r="Q12" i="1" a="1"/>
  <c r="Q12" i="1" s="1"/>
  <c r="Q15" i="1" a="1"/>
  <c r="Q15" i="1" s="1"/>
  <c r="Q17" i="1" a="1"/>
  <c r="Q17" i="1" s="1"/>
  <c r="Q29" i="1" a="1"/>
  <c r="Q29" i="1" s="1"/>
  <c r="Q43" i="1" a="1"/>
  <c r="Q43" i="1" s="1"/>
  <c r="Q44" i="1" a="1"/>
  <c r="Q44" i="1" s="1"/>
  <c r="Q45" i="1" a="1"/>
  <c r="Q45" i="1" s="1"/>
  <c r="Q46" i="1" a="1"/>
  <c r="Q46" i="1" s="1"/>
  <c r="Q47" i="1" a="1"/>
  <c r="Q47" i="1" s="1"/>
  <c r="Q50" i="1" a="1"/>
  <c r="Q50" i="1" s="1"/>
  <c r="Q52" i="1" a="1"/>
  <c r="Q52" i="1" s="1"/>
  <c r="Q54" i="1" a="1"/>
  <c r="Q54" i="1" s="1"/>
  <c r="Q55" i="1" a="1"/>
  <c r="Q55" i="1" s="1"/>
  <c r="Q3" i="1" a="1"/>
  <c r="Q3" i="1" s="1"/>
  <c r="Q4" i="1" a="1"/>
  <c r="Q4" i="1" s="1"/>
  <c r="Q6" i="1" a="1"/>
  <c r="Q6" i="1" s="1"/>
  <c r="Q8" i="1" a="1"/>
  <c r="Q8" i="1" s="1"/>
  <c r="Q9" i="1" a="1"/>
  <c r="Q9" i="1" s="1"/>
  <c r="Q10" i="1" a="1"/>
  <c r="Q10" i="1" s="1"/>
  <c r="Q13" i="1" a="1"/>
  <c r="Q13" i="1" s="1"/>
  <c r="Q14" i="1" a="1"/>
  <c r="Q14" i="1" s="1"/>
  <c r="Q16" i="1" a="1"/>
  <c r="Q16" i="1" s="1"/>
  <c r="Q18" i="1" a="1"/>
  <c r="Q18" i="1" s="1"/>
  <c r="Q2" i="1" a="1"/>
  <c r="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<sst xmlns="http://schemas.openxmlformats.org/spreadsheetml/2006/main" count="801" uniqueCount="437">
  <si>
    <t>Index</t>
  </si>
  <si>
    <t>Category</t>
  </si>
  <si>
    <t>Initiative</t>
  </si>
  <si>
    <t>Barrier Description </t>
  </si>
  <si>
    <t>Timeline</t>
  </si>
  <si>
    <t>ID</t>
  </si>
  <si>
    <t>Location Identified</t>
  </si>
  <si>
    <t>Filtering-Contributors-Categories</t>
  </si>
  <si>
    <t>Ease of Implementation</t>
  </si>
  <si>
    <t>Impact (out of 10)</t>
  </si>
  <si>
    <t>Metrics</t>
  </si>
  <si>
    <t>Scope of Implementation</t>
  </si>
  <si>
    <t>Preqrequisite initiative (s)</t>
  </si>
  <si>
    <t>owner</t>
  </si>
  <si>
    <t>contributors</t>
  </si>
  <si>
    <t>timeline-ordering</t>
  </si>
  <si>
    <t>Independent vs Collaboration</t>
  </si>
  <si>
    <t>NB Status</t>
  </si>
  <si>
    <t>NS Status</t>
  </si>
  <si>
    <t>PEI Status</t>
  </si>
  <si>
    <t>NL Status</t>
  </si>
  <si>
    <t>Regional</t>
  </si>
  <si>
    <t>Metric Notes</t>
  </si>
  <si>
    <t>Cost Structure </t>
  </si>
  <si>
    <t>Introduce MMC manufacturer pre-qualification based on CSA A277 certification.</t>
  </si>
  <si>
    <t xml:space="preserve">Bonding challenges for small manufacturers (NS, NB). </t>
  </si>
  <si>
    <t>FI1</t>
  </si>
  <si>
    <t>NS, NB</t>
  </si>
  <si>
    <t>Manufacturers, Provincial Government, Finance &amp; Insurance/Business Services</t>
  </si>
  <si>
    <t>Medium</t>
  </si>
  <si>
    <t>Number of modular tenders allowing pre-qualified suppliers without full bonding
Increase in bid participation
Reduced project cancellations due to lack of bonded bidders</t>
  </si>
  <si>
    <t>Provincial</t>
  </si>
  <si>
    <t>Define modular-specific qualification criteria
Review manufacturer QA, capacity, and safety documentation</t>
  </si>
  <si>
    <t>Provincial Government</t>
  </si>
  <si>
    <t>Manufacturers, Finance &amp; Insurance/Business Services</t>
  </si>
  <si>
    <t>Independent</t>
  </si>
  <si>
    <t>Access to CMHC Funding</t>
  </si>
  <si>
    <t>Collaborate with CMHC to establish a CMHC–regional coordination group.</t>
  </si>
  <si>
    <t>CMHC policies do not align with OSC timelines, delivery methods, or cost structure (Atlantic). 
Restrictions on funding non-residential space in new buildings (Atlantic). 
Lack of clarity on how to access CMHC programs and funding streams (Atlantic). 
CMHC data for rural areas is outdated/incorrect (Atlantic).  </t>
  </si>
  <si>
    <t>FI2</t>
  </si>
  <si>
    <t>Atlantic</t>
  </si>
  <si>
    <t>Federal Government, Developers &amp; General Contractors, Finance &amp; Insurance/Business Services, Technical Professionals, Provincial Government</t>
  </si>
  <si>
    <t>Reduced CMHC approval time for modular files
Increase in successful modular applications</t>
  </si>
  <si>
    <t xml:space="preserve">Regional </t>
  </si>
  <si>
    <t>Collect standard modular factory timelines from local manufacturers
Compare with CMHC approval timelines
Identify specific misalignment points
Draft modular timeline recommendations</t>
  </si>
  <si>
    <t>Provincial Government, Federal Government</t>
  </si>
  <si>
    <t>Developers &amp; General Contractors, Technical Professionals, Finance &amp; Insurance/Business Services</t>
  </si>
  <si>
    <t>Collaboration</t>
  </si>
  <si>
    <t>Access to Financing </t>
  </si>
  <si>
    <t>Create and share lending briefs with private and institutional investors to expand financing options.</t>
  </si>
  <si>
    <t>Banks and lenders do not fully understand or accept modular/off-site construction because of high perceived risks in OSC (Atlantic). 
Limited financing options for small-scale ownership (e.g., single units, duplexes) force many buyers to rely on high-interest lenders (Atlantic). 
Financing rules, mortgage products, and banking policies are outdated for OSC (Atlantic).
Lack of competition among funding providers (NS).  </t>
  </si>
  <si>
    <t>FI3</t>
  </si>
  <si>
    <t>Atlantic, NS</t>
  </si>
  <si>
    <t>Provincial Government, Finance &amp; Insurance/Business Services, Federal Government</t>
  </si>
  <si>
    <t>Easy</t>
  </si>
  <si>
    <t>Number of lenders adopting the brief
Reduction in financing rejections for modular
Increase in modular mortgage approvals
Reduced reliance on one or two banks
Increase in competitive interest rates for modular</t>
  </si>
  <si>
    <t>Gather modular timeline + risk data from manufacturers</t>
  </si>
  <si>
    <t>Provincial Government, Finance &amp; Insurance/Business Services</t>
  </si>
  <si>
    <t>Federal Government, Finance &amp; Insurance/Business Services</t>
  </si>
  <si>
    <t>Use MURB projects as case studies to identify cost reductions for MURBs that use MMC.</t>
  </si>
  <si>
    <t>Multi-unit residential building (MURB) volumetric modular construction significantly more expensive (PEI). </t>
  </si>
  <si>
    <t>FI4</t>
  </si>
  <si>
    <t>PEI</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</si>
  <si>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</si>
  <si>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</si>
  <si>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Map annual modular demand (public + private) in PEI
Identify suppliers shipping to PEI and shipment patterns
Pre-negotiate ferry/logistics windows
Pre-qualify crane + install contractors willing to participate
Develop cost-sharing model among participating projects</t>
  </si>
  <si>
    <t>Manufacturers, Developers &amp; General Contractors, Transportation &amp; Logistics Providers, Finance &amp; Insurance/Business Services</t>
  </si>
  <si>
    <t>Add MMC-friendly (particularly for categories 1 to 4) payment structures and liquidity supports.</t>
  </si>
  <si>
    <t>High upfront costs and misaligned payment milestones strain cash flow (Atlantic). </t>
  </si>
  <si>
    <t>FI5</t>
  </si>
  <si>
    <t>Technical Professionals, Manufacturers, Developers &amp; General Contractors, Provincial Government</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</si>
  <si>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</si>
  <si>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</si>
  <si>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Provincial Government, Technical Professionals</t>
  </si>
  <si>
    <t>Manufacturers, Developers &amp; General Contractors, Technical Professionals</t>
  </si>
  <si>
    <t>Incentives &amp; Policy </t>
  </si>
  <si>
    <t>Establish a pre-manufactured index with fee reductions and expedited approvals.</t>
  </si>
  <si>
    <t>No tax incentives, subsidies, or financial supports tailored to OSC (Atlantic). 
Government fees add affordability challenges (Atlantic). </t>
  </si>
  <si>
    <t>FI6</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</si>
  <si>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</si>
  <si>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</si>
  <si>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Provincial, regional</t>
  </si>
  <si>
    <t>Determine per-unit credit value (e.g., $2,000–$5,000/unit)
Set eligibility (affordable housing, supportive housing, repeatable modular designs)
Secure small annual budget allocation
Develop simple claim process at delivery or installation</t>
  </si>
  <si>
    <t>Manufacturers, Federal Government, Developers &amp; General Contractors, Indigenous &amp; Community Organizations</t>
  </si>
  <si>
    <t>Insurance </t>
  </si>
  <si>
    <t>Work with insurers to develop a unified OSC insurance products aligned with MMC (categories 1 to 4) with clear liability transfer.</t>
  </si>
  <si>
    <t>There are coverage gaps, overlapping insurance requirements, and unclear responsibility transfers between the factory, transporter, and on-site contractor (Atlantic). 
Higher insurance premiums for mass timber or wood-based modular systems (Atlantic). 
Insurance regulations not tailored to offsite fabrication risks (Atlantic). </t>
  </si>
  <si>
    <t>FI7</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</si>
  <si>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</si>
  <si>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</si>
  <si>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</si>
  <si>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Manufacturers, Developers &amp; General Contractors, Finance &amp; Insurance/Business Services</t>
  </si>
  <si>
    <t>Manufacturers, Federal Government, Developers &amp; General Contractors, Transportation &amp; Logistics Providers, Finance &amp; Insurance/Business Services</t>
  </si>
  <si>
    <t>Attitudes and Knowledge Gaps </t>
  </si>
  <si>
    <t>Adopt the MMC Definition Framework across government department and leverage the definitions in policies, procurement documents, and contracts.</t>
  </si>
  <si>
    <t xml:space="preserve">Lack of alignment in terminology from funders. Ambiguity in terminology leading to confusion (NB). </t>
  </si>
  <si>
    <t>PR1</t>
  </si>
  <si>
    <t>NB</t>
  </si>
  <si>
    <t>Municipal Government, Provincial Government, Federal Government, Manufacturers, Developers &amp; General Contractors</t>
  </si>
  <si>
    <t>Number of municipalities adopting the terminology
Reduction in terminology-related rejections
Consistency in NB Housing program applications</t>
  </si>
  <si>
    <t>Local, provincial</t>
  </si>
  <si>
    <t>Drafting of a concise modular terminology list based on CSA standards.
Internal review by NB Housing, DLGLR, and municipal planners to confirm usability.
Development of a short implementation memo instructing municipalities to adopt the terminology.</t>
  </si>
  <si>
    <t>Provincial Government, Manufacturers, Federal Government, Developers &amp; General Contractors, Municipal Government</t>
  </si>
  <si>
    <t>Develop an NB Healthy Housing Planning Note linking housing and year-round safe employment to population health. </t>
  </si>
  <si>
    <t xml:space="preserve">Lack of emphasis of the impact of housing on population health (NB). </t>
  </si>
  <si>
    <t>PR2</t>
  </si>
  <si>
    <t>Municipal Government, Provincial Government</t>
  </si>
  <si>
    <t>Number of planning decisions referencing the Note.</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</si>
  <si>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</si>
  <si>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Provincial Government, Municipal Government</t>
  </si>
  <si>
    <t>Policy and regulatory</t>
  </si>
  <si>
    <t>Support public and private sector education and create a regional MMC approval pathway supported by awareness programs.</t>
  </si>
  <si>
    <t>There is a gap between the promotion of OSC and the acceptance of it. Specifically, politicians have been promoting OSC however their departments do not prefer it. A gap was also noted in CMHC promoting OSC despite the funding mechanisms not being friendly to OSC (Atlantic). </t>
  </si>
  <si>
    <t>PR3</t>
  </si>
  <si>
    <t>Municipal Government, Provincial Government, Federal Government, Manufacturers</t>
  </si>
  <si>
    <t>Number of projects approved
Approval time
Number of departments using pathway</t>
  </si>
  <si>
    <t>Development of clear eligibility criteria for selecting modular demonstration projects.
Creation of a standardized modular submission package for applicants.
Preparation of a modular review checklist for inspectors and permitting staff.</t>
  </si>
  <si>
    <t>Manufacturers, Federal Government, Municipal Government</t>
  </si>
  <si>
    <t>Codes and Standards </t>
  </si>
  <si>
    <t>Work with NRC and the necessary codes, committees and commissions to establish a technical committee to update codes for MMC and educate planners and officials.</t>
  </si>
  <si>
    <t>Complexity of codes: mention of challenges navigating national, provincial, and local codes (including NBC, NECB) (Atlantic).  </t>
  </si>
  <si>
    <t>PR4</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</si>
  <si>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</si>
  <si>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</si>
  <si>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Inventory of existing modular-related code interpretations and issues
Inventory of existing modular-related code interpretations and issues
Draft modular-specific code navigation guide for review
Pilot the guide with a small set of municipalities / projects</t>
  </si>
  <si>
    <t>Manufacturers, Technical Professionals</t>
  </si>
  <si>
    <t>Government Coordination </t>
  </si>
  <si>
    <t>Establish the Atlantic Off-site Housing Innovation Network with a clear mandate including monthly (or quarterly inter-provincial meetings) with up to two points-of-contact reporting back to provincial committees. </t>
  </si>
  <si>
    <t>Lack of communication across government agencies (Atlantic). </t>
  </si>
  <si>
    <t>PR5</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</si>
  <si>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</si>
  <si>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</si>
  <si>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</si>
  <si>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Designate a MMC Liaison Officer in NL. This individual should ideally have expertise in traditional, panelized (category 2) and volumetric modular (category 1) construction.</t>
  </si>
  <si>
    <t>Outdated policies needing to be updated (NL). </t>
  </si>
  <si>
    <t>PR6</t>
  </si>
  <si>
    <t>NL</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</si>
  <si>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</si>
  <si>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</si>
  <si>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</si>
  <si>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Provincial Government, Municipal Government, Technical Professionals</t>
  </si>
  <si>
    <t>Inspections </t>
  </si>
  <si>
    <t>Standardize and promote CSA A277 adoption across municipalities through aligned policy, inspection practices, and inspector training.</t>
  </si>
  <si>
    <t>Concerns about duplicate inspections resulting in inefficiencies (Atlantic)</t>
  </si>
  <si>
    <t>PR7</t>
  </si>
  <si>
    <t>Provincial Government, Manufacturers, Developers &amp; General Contractors</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</si>
  <si>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</si>
  <si>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Draft the shared Framework</t>
  </si>
  <si>
    <t>Manufacturers, Developers &amp; General Contractors</t>
  </si>
  <si>
    <t>Permitting and Approvals </t>
  </si>
  <si>
    <t>Encourage MMC solutions (e.g., categories 2-4, 6 and 7) that meet Heritage Conservation Act requirements.</t>
  </si>
  <si>
    <t>Heritage Conservation Act identifies heritage places in unincorporated areas, providing a barrier for housing (NB). </t>
  </si>
  <si>
    <t>PR8</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</si>
  <si>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</si>
  <si>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</si>
  <si>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Draft short guidance text for Navigation Guide
Validate with NB Heritage Branch</t>
  </si>
  <si>
    <t xml:space="preserve">Review permitting, by-laws, zoning and pre-construction workflows to remove barriers (e.g., costs, redundant processes, complex approvals, etc.) to all forms of housing supply. This may be done through removal of pre-construction costs, digitizing workflows, educating industry, etc. </t>
  </si>
  <si>
    <t>Slow and costly approval processes (Atlantic).  </t>
  </si>
  <si>
    <t>PR9</t>
  </si>
  <si>
    <t>Provincial Government, Municipal Government, Technical Professionals, Developers &amp; General Contractors</t>
  </si>
  <si>
    <t>Average modular permitting time before vs. after track
Number of repeatable modular designs pre-verified
Increase in modular applications submitted</t>
  </si>
  <si>
    <t>Identify which modular designs can be pre-verified.
Provide municipalities with CSA certification details.
Update municipal workflows to skip factory-completed checks.</t>
  </si>
  <si>
    <t>Developers &amp; General Contractors, Municipal Government, Technical Professionals</t>
  </si>
  <si>
    <t>Procurement models and contracts</t>
  </si>
  <si>
    <t>Competition and Market Dynamics </t>
  </si>
  <si>
    <t>Collaborate across the four provinces to identify a method to score proponents beyond lowest bid that captures benefits of time savings (speed), environmental, social and cultural KPIs.</t>
  </si>
  <si>
    <t xml:space="preserve">Lowest bid procurement often fails to capture the full value and impact of time savings, environmental factors, etc. </t>
  </si>
  <si>
    <t>PM1</t>
  </si>
  <si>
    <t>Provincial Government, Academic and Training Institutions, Industry Association</t>
  </si>
  <si>
    <t> </t>
  </si>
  <si>
    <t>Create a funding stream (through Opportunities NB, Invest NS, Innovation PEI and NL’s department of IET) for manufacturers to access and become CSA certified. </t>
  </si>
  <si>
    <t>Only few CSA-certified modular manufacturers, limiting competition, raising costs, and preventing suppliers from scaling confidently (Atlantic). </t>
  </si>
  <si>
    <t>PM2</t>
  </si>
  <si>
    <t>Increase in number of pre-qualified modular suppliers
Reduction in average bid prices
Number of projects receiving more than 1–2 bids</t>
  </si>
  <si>
    <t>Compile list of CSA A277/A660-certified manufacturers in ON/QC
Create modular-specific pre-qualification criteria
Issue pre-qualification call</t>
  </si>
  <si>
    <t>Use RFIs and/or RFQs to gain information about manufacturers in the region, pre-qualify proponents (there may be an opportunity to leverage the Build Canada Homes data collected through their MMC RFI). (PM3)</t>
  </si>
  <si>
    <t>Low-bid procurement models do not quantify the benefits of some forms of OSC (cost certainty, shortened schedule, reduction in environmental impact, safer for the skilled workforce) which makes OSC solutions less competitive than stick-built construction (Atlantic). 
Lack of value-based procurement approaches (Atlantic).</t>
  </si>
  <si>
    <t>PM3</t>
  </si>
  <si>
    <t>Developers &amp; General Contractors, Manufacturers, Provincial Government, Federal Government, Municipal Government</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</si>
  <si>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</si>
  <si>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</si>
  <si>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Manufacturers, Developers &amp; General Contractors, Municipal Government</t>
  </si>
  <si>
    <t>Provinces and non-profit housing providers to publish a rolling 3–4-year forecast of OSC-suitable public housing projects across the region.</t>
  </si>
  <si>
    <t>Unclear demand and supply conditions create a “chicken-or-egg” problem, limiting competition and complicating procurement planning (Atlantic). </t>
  </si>
  <si>
    <t>PM4</t>
  </si>
  <si>
    <t>Provincial Government, Manufacturers, Developers &amp; General Contractors, Municipal Government</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</si>
  <si>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</si>
  <si>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</si>
  <si>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Use a procurement approach that allows for the manufacturer to be involved in a design assist role during the design phase ( e.g., design-build CCDC-14).</t>
  </si>
  <si>
    <t>Projects may need to be approved as design-build to create more competition (NS). </t>
  </si>
  <si>
    <t>PM5</t>
  </si>
  <si>
    <t>NS</t>
  </si>
  <si>
    <t>Increase in number of modular bidders
Reduction in redesign hours or change orders</t>
  </si>
  <si>
    <t>Identify modular-suitable projects early
Issue RFPs using design–build method</t>
  </si>
  <si>
    <t>Work with federal and provincial governments to identify serviced or partially serviced small sites and combine them to tender larger projects to one development or design-build team.</t>
  </si>
  <si>
    <t>Limited land availability reduces how many modular projects can be procured (NS). </t>
  </si>
  <si>
    <t>PM6</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</si>
  <si>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</si>
  <si>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</si>
  <si>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</si>
  <si>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Manufacturers, Municipal Government, Technical Professionals</t>
  </si>
  <si>
    <t>Develop a standardized OSC cost library (e.g., RSMeans-aligned) with supply-chain education to improve cost certainty and procurement outcomes</t>
  </si>
  <si>
    <t>Lack defined roles and responsibilities leading to inaccurate pricing from sub-contractors (PEI)</t>
  </si>
  <si>
    <t>2026-2028</t>
  </si>
  <si>
    <t>PM7</t>
  </si>
  <si>
    <t>Manufacturers, Developers &amp; General Contractors, Provincial Government</t>
  </si>
  <si>
    <t>Number of manufacturers using the directory
Reduction in estimate variability between suppliers
Fewer lender RFIs about project costing</t>
  </si>
  <si>
    <t>Collect baseline cost data from Atlantic manufacturers (module production, transport, installation).
Create standardized cost bands (Low/Medium/High) for modules, logistics, and site work.</t>
  </si>
  <si>
    <t>Design and Standards </t>
  </si>
  <si>
    <t xml:space="preserve">Require an OSC or MMC integrator role as part of the project team using the definition identified by NRCan. The integrator may bee a consultant, contractor or manufacturer. </t>
  </si>
  <si>
    <t>Designs are developed for traditional construction and only adapted to OSC methods later which causes redesign and inefficiencies (Atlantic). </t>
  </si>
  <si>
    <t>PM8</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</si>
  <si>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</si>
  <si>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</si>
  <si>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Ensure CSA A277 certification and compliance with the building code of the final building location.</t>
  </si>
  <si>
    <t>Modular builds from other regions may not be designed to meet local performance standards (e.g., hurricane-force winds) (NS, NL).  </t>
  </si>
  <si>
    <t>PM9</t>
  </si>
  <si>
    <t>NL, NS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</si>
  <si>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</si>
  <si>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</si>
  <si>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</si>
  <si>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Manufacturers, Technical Professionals, Finance &amp; Insurance/Business Services</t>
  </si>
  <si>
    <t>Use a procurement approach that enables performance-based on projects where MMC will be used.</t>
  </si>
  <si>
    <t>Lack of flexible RFP formats - they are too structured and project specific (NB).</t>
  </si>
  <si>
    <t>PM10</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</si>
  <si>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</si>
  <si>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</si>
  <si>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</si>
  <si>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Manufacturing and Supply Chain </t>
  </si>
  <si>
    <t>Issue bundled OSC procurement approaches (e.g., offtake agreements) to de-risk capacity investment in the regional manufacturers and add regional logistics supports. </t>
  </si>
  <si>
    <t>Limited OSC manufacturing capacity and an under-developed supply chain create dependency on imports, transport bottlenecks, and long lead times (Atlantic). </t>
  </si>
  <si>
    <t>PM11</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</si>
  <si>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</si>
  <si>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</si>
  <si>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Manufacturers, Developers &amp; General Contractors, Municipal Government, Transportation &amp; Logistics Providers, Finance &amp; Insurance/Business Services</t>
  </si>
  <si>
    <t>Procurement Process</t>
  </si>
  <si>
    <t>Collaborate with CCDC and across the region to create contract templates for MMC to ensure consistency across the region.</t>
  </si>
  <si>
    <t xml:space="preserve">Inconsistent contracting practices for MMC projects (Atlantic). </t>
  </si>
  <si>
    <t>PM12</t>
  </si>
  <si>
    <t>National, regional, provincial</t>
  </si>
  <si>
    <t>Provincial Government, Industry Associations</t>
  </si>
  <si>
    <t>Procurement Processes </t>
  </si>
  <si>
    <t>Encourage tenders to consider MMC categories 1 to 4 alternatives.</t>
  </si>
  <si>
    <t>Procurement is oriented toward traditional construction reducing acceptance for OSC approaches (Atlantic). </t>
  </si>
  <si>
    <t>PM13</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</si>
  <si>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</si>
  <si>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</si>
  <si>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</si>
  <si>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After PM3, create consistent RFP processes across the four provinces and provide annual FAQs and training sessions.</t>
  </si>
  <si>
    <t>New entrants to construction are not used to RFP processes (NB).  </t>
  </si>
  <si>
    <t>PM14</t>
  </si>
  <si>
    <t>Reduction in incomplete modular submissions
Increase in number of modular bidders
Fewer administrative RFIs</t>
  </si>
  <si>
    <t>Identify common missing/incorrect items in past submissions</t>
  </si>
  <si>
    <t>Include clear schedule requirements in contracts and link payments to project signing, factory-based project progress, delivery and installation milestones. </t>
  </si>
  <si>
    <t>Lack of schedule regulations and enforcements (NB, PEI). </t>
  </si>
  <si>
    <t>PM15</t>
  </si>
  <si>
    <t>NB, PEI</t>
  </si>
  <si>
    <t>Provincial Government, Manufacturers, Transportation &amp; Logistics Providers, Developers &amp; General Contractors, Municipal Government</t>
  </si>
  <si>
    <t>Number of tenders including schedule enforcement
Reduction in installation or delivery delays</t>
  </si>
  <si>
    <t>Identify modular-specific scheduling needs
Update contract templates to include enforceable schedule milestones</t>
  </si>
  <si>
    <t>Manufacturers, Developers &amp; General Contractors, Transportation &amp; Logistics Providers</t>
  </si>
  <si>
    <t>Define OSC-specific responsibilities in trade scopes and use a standardized site-readiness checklist.</t>
  </si>
  <si>
    <t>Pre-fabrication work is often missing from trade agreements and scopes, making coordination harder (Atlantic).  </t>
  </si>
  <si>
    <t>PM16</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</si>
  <si>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</si>
  <si>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</si>
  <si>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</si>
  <si>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Where possible, include detailed site information in RFPs (geotechnical, laydown areas, overhead constraints, site images).</t>
  </si>
  <si>
    <t>Lack of site access or information for bidders to accurately estimate on-site works (NB). </t>
  </si>
  <si>
    <t>PM17</t>
  </si>
  <si>
    <t>Skilled workforce and skills development </t>
  </si>
  <si>
    <t>Awareness, Culture &amp; Mindset </t>
  </si>
  <si>
    <t>Host OSC industry events (tours, seminars) targeting skilled trades.</t>
  </si>
  <si>
    <t xml:space="preserve">Workforce resistance to OSC due to lack of familiarity, fear of job loss, or cultural hesitation toward new methods (Atlantic). </t>
  </si>
  <si>
    <t>WD1</t>
  </si>
  <si>
    <t>Attendance at OSC events
Surveys on workforce perception of OSC
Increased modular adoption</t>
  </si>
  <si>
    <t>Regional, provincial</t>
  </si>
  <si>
    <t>Identification of industry professionals to host events
Event planning</t>
  </si>
  <si>
    <t>Industry Associations</t>
  </si>
  <si>
    <t>Launch OSC awareness campaigns, docuseries, and industry-wide marketing.</t>
  </si>
  <si>
    <t>Low awareness and misconceptions about OSC quality, aesthetics, and durability (Atlantic). </t>
  </si>
  <si>
    <t>2026-2027</t>
  </si>
  <si>
    <t>WD2</t>
  </si>
  <si>
    <t>Provincial Government, Industry Associations, Manufacturers, Federal Government</t>
  </si>
  <si>
    <t>Public awareness metrics (survey data)
Number of facility open houses
Participation in outreach</t>
  </si>
  <si>
    <t>Marketing strategy developed
Local case studies collected
Cooperation from manufacturers</t>
  </si>
  <si>
    <t>Provincial Government, Manufacturers, Federal Government</t>
  </si>
  <si>
    <t>Provincial Government, Manufacturers, Federal Government, Industry Associations</t>
  </si>
  <si>
    <t>Promote OSC careers through coordinated awareness campaigns and industry events.</t>
  </si>
  <si>
    <t>Limited promotion of modular construction within the industry and workforce (Atlantic). </t>
  </si>
  <si>
    <t>WD3</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</si>
  <si>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</si>
  <si>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</si>
  <si>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</si>
  <si>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</si>
  <si>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Provincial Government, Manufacturers, Academic/Training Institutions</t>
  </si>
  <si>
    <t>Manufacturers, Industry Associations, Academic/Training Institutions</t>
  </si>
  <si>
    <t>Skilled Trades &amp; Labour Availability </t>
  </si>
  <si>
    <t>Collaborate across Atlantic post-secondary institutions to integrate MMC training and micro-credentials.</t>
  </si>
  <si>
    <t>NSCC programs closing due to low enrollment (NS).
Few contractors have OSC experience, limiting participation (NS).</t>
  </si>
  <si>
    <t>WD4</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</si>
  <si>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</si>
  <si>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</si>
  <si>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</si>
  <si>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</si>
  <si>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Provincial Government, Academic/Training Institutions</t>
  </si>
  <si>
    <t>Academic/Training Institutions</t>
  </si>
  <si>
    <t>Create streamlined credential recognition for internationally trained workers and engage and work with Indigenous communities.</t>
  </si>
  <si>
    <t>Barriers for foreign-trained workers to gain equivalency; limited culturally appropriate programs for Indigenous communities (NS).  </t>
  </si>
  <si>
    <t>WD5</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</si>
  <si>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</si>
  <si>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</si>
  <si>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</si>
  <si>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Industry Associations, Academic/Training Institutions, Indigenous &amp; Community Organizations</t>
  </si>
  <si>
    <t>Collaborate across trade associations to offer heavy equipment and crane operations in workforce outreach.</t>
  </si>
  <si>
    <t>Limited access to specialized equipment operators (e.g., cranes, certified operators) (Atlantic). </t>
  </si>
  <si>
    <t>WD6</t>
  </si>
  <si>
    <t>Industry Associations, Transportation &amp; Logistics Providers, Provincial Government</t>
  </si>
  <si>
    <t>Difficult</t>
  </si>
  <si>
    <t>Counts of shared resources
Project delays due to lack of resources</t>
  </si>
  <si>
    <t>Coordination agreements between provinces
Identification of regional capacity gaps</t>
  </si>
  <si>
    <t>Federal Government, Transportation &amp; Logistics Providers, Industry Associations</t>
  </si>
  <si>
    <t>Work with post-secondary institutions to increase size and staffing in planning and building offices across the region.</t>
  </si>
  <si>
    <t>Limited capacity and in planning and building offices which can slow project delivery (Atlantic).</t>
  </si>
  <si>
    <t>WD7</t>
  </si>
  <si>
    <t>Industry Associations, Manufacturers, Academic/Training Institutions</t>
  </si>
  <si>
    <t>Invest in factory optimization (i.e., digitized processes, automation, etc.) and training to increase capacity and recruitment.</t>
  </si>
  <si>
    <t>Low overall workforce availability limits the ability to scale modular construction (Atlantic). </t>
  </si>
  <si>
    <t>WD8</t>
  </si>
  <si>
    <t>Efficiency KPIs folllowing implementation of automation
Output per worker
Reduced labour bottlenecks</t>
  </si>
  <si>
    <t>Local, regional</t>
  </si>
  <si>
    <t>Investment in automation equipment
Worker training on new technology</t>
  </si>
  <si>
    <t>Build on the AMC certificate to develop a national curriculum aligned with apprenticeships.</t>
  </si>
  <si>
    <t>Lack of clear, unified training pathways or standards for OSC across Canada (Atlantic). </t>
  </si>
  <si>
    <t>WD9</t>
  </si>
  <si>
    <t>Industry Associations, Academic/Training Institutions</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</si>
  <si>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</si>
  <si>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</si>
  <si>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</si>
  <si>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FALSE</t>
  </si>
  <si>
    <t>Expand MMC-focused skilled workforce training, fast-track continuous education opportunities, and industry-supported apprenticeships.</t>
  </si>
  <si>
    <t>Shortage of skilled trades needed for OSC construction (design, assembly, mass timber, mechanical/electrical, etc.) (NB). </t>
  </si>
  <si>
    <t>WD10</t>
  </si>
  <si>
    <t>Provincial Government, Academic/Training Institutions, Industry Associations</t>
  </si>
  <si>
    <t>Number of apprenticeships created
Program enrollment
Industry placement rates</t>
  </si>
  <si>
    <t>College/unions agreement
Curriculum development
Employer sponsorship secured</t>
  </si>
  <si>
    <t>Provincial Government, Industry Associations, Academic/Training Institutions</t>
  </si>
  <si>
    <t>Provide relocation incentives and additional workforce benefits (e.g., housing).</t>
  </si>
  <si>
    <t>Rural factory locations limit labour access and reduce available workforce pools (Atlantic). </t>
  </si>
  <si>
    <t>WD11</t>
  </si>
  <si>
    <t>Number of relocation/housing subsidies granted
Change in labour availability at rural facilities</t>
  </si>
  <si>
    <t>Regional, local</t>
  </si>
  <si>
    <t>Provincial/federal funding approval
Policy design for incentives</t>
  </si>
  <si>
    <t>Identify training for provincial and municipal staff (including engineers, planners, inspectors, architects, project managers, trades, etc.) to educate on leveraging MMC in projects.</t>
  </si>
  <si>
    <t>Staff shortages in public offices (planning, permitting, fire inspection) delay projects (NB). 
New building inspectors are inexperienced (NL).</t>
  </si>
  <si>
    <t>WD12</t>
  </si>
  <si>
    <t>NB, NL</t>
  </si>
  <si>
    <t>Municipal Government, Provincial Government, Academic/Training Institutions</t>
  </si>
  <si>
    <t>Number of municipal staff hired
Permitting turnaround times
Number of inspectors trained
Inspector certification rates
Reduced inspection delays</t>
  </si>
  <si>
    <t>Budget approval
Digital permitting system development
Curriculum development for inspector training</t>
  </si>
  <si>
    <t>Provincial Government, Federal Government, Municipal Government</t>
  </si>
  <si>
    <t xml:space="preserve">Collaborate with trade associations to offer training for traditional builders on installation, fit out and handover of category 1 and 2 MMC projects </t>
  </si>
  <si>
    <t xml:space="preserve">Skill gaps among builders (Atlantic). </t>
  </si>
  <si>
    <t>WD13</t>
  </si>
  <si>
    <t>Workforce Retention &amp; Recruitment </t>
  </si>
  <si>
    <t>Highlight MMC employment benefits and support bursaries, scholarships, mentorships, and DEI training.</t>
  </si>
  <si>
    <t>Difficulty attracting youth, women, diverse groups, and newcomers to construction trades (Atlantic). </t>
  </si>
  <si>
    <t>WD14</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</si>
  <si>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</si>
  <si>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</si>
  <si>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</si>
  <si>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Provincial Government, Indigenous &amp; Community Organizations</t>
  </si>
  <si>
    <t>Provincial Government, Manufacturers, Federal Government, Municipal Government, Academic/Training Institutions</t>
  </si>
  <si>
    <t>Consult Indigenous communities to identify workforce initiatives.</t>
  </si>
  <si>
    <t>Culturally inappropriate or unwelcoming workplaces limit participation from Indigenous peoples and underrepresented groups (NB). </t>
  </si>
  <si>
    <t>WD15</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</si>
  <si>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</si>
  <si>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</si>
  <si>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</si>
  <si>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Enable long-term year-round employment through offtake agreements and enhanced benefits.</t>
  </si>
  <si>
    <t>Workforce retention challenges due to high living costs, housing affordability, and job security concerns in the construction sector (Atlantic). </t>
  </si>
  <si>
    <t>WD16</t>
  </si>
  <si>
    <t>Worker retention rates
Housing uptake
Employment stability metrics</t>
  </si>
  <si>
    <t xml:space="preserve">Local, regional </t>
  </si>
  <si>
    <t>Policy approval for housing subsidies
Government purchasing agreements finalized</t>
  </si>
  <si>
    <t>Transportation and Logistics</t>
  </si>
  <si>
    <t>Damage and Protection </t>
  </si>
  <si>
    <t>Ensure conflict resolution for OSC component damages is included in contracts.</t>
  </si>
  <si>
    <t>Responsibility/liability for damage is unclear between manufacturer, hauler, GC (Atlantic).</t>
  </si>
  <si>
    <t>TL1</t>
  </si>
  <si>
    <t>Industry Associations, Developers &amp; General Contractors, Transportation &amp; Logistics Providers, Manufacturers, Finance &amp; Insurance/Business Services</t>
  </si>
  <si>
    <t xml:space="preserve">
Reduction in disputes</t>
  </si>
  <si>
    <t>Local</t>
  </si>
  <si>
    <t>Development of formal insurance and liability agreements
Stakeholder alignment</t>
  </si>
  <si>
    <t>Industry Associations, Finance &amp; Insurance/Business Services</t>
  </si>
  <si>
    <t>Manufacturers, Developers &amp; General Contractors, Transportation &amp; Logistics Providers, Industry Associations</t>
  </si>
  <si>
    <t xml:space="preserve">Collaborate with the R&amp;D based organizations to better understand and minimize damages from transportation and erection. Produce a document top help mitigate these risks. </t>
  </si>
  <si>
    <t>Denting, corner damage, and structural movement during loading/unloading (Atlantic). 
Inconsistent moisture barriers and wrapping practices (Atlantic).</t>
  </si>
  <si>
    <t>TL2</t>
  </si>
  <si>
    <t>Manufacturers, Transportation &amp; Logistics Providers, Developers &amp; General Contractors, Academic/Training Institutions, Industry Associations</t>
  </si>
  <si>
    <t>Number of training sessions delivered
Reports of damage to modules during transportation</t>
  </si>
  <si>
    <t>National</t>
  </si>
  <si>
    <t>Transport best-practice guidelines finalized
Training content developed</t>
  </si>
  <si>
    <t>Manufacturers, Developers &amp; General Contractors, Transportation &amp; Logistics Providers, Industry Associations, Academic/Training Institutions</t>
  </si>
  <si>
    <t>Module size and road restrictions </t>
  </si>
  <si>
    <t>Collaborate regionally to document overload escort and permit requirements in a single reference.</t>
  </si>
  <si>
    <t>Escort and permit rules for oversized modules (often &gt;12 ft wide) differ between jurisdictions (Atlantic).</t>
  </si>
  <si>
    <t>TL3</t>
  </si>
  <si>
    <t>Provincial Government, Municipal Government, Transportation &amp; Logistics Providers, Developers &amp; General Contractors, Municipal Government</t>
  </si>
  <si>
    <t>Number of agreements signed
Reduced delays due to permit harmonization
Number of municipalities participating</t>
  </si>
  <si>
    <t>Local, provincial, regional</t>
  </si>
  <si>
    <t>Regulatory coordination between provinces
Legal framework for transport agreements</t>
  </si>
  <si>
    <t>Provincial Government, Developers &amp; General Contractors, Municipal Government, Transportation &amp; Logistics Providers</t>
  </si>
  <si>
    <t>Using resources created from TL5, consider developing design guidelines that account for manufacturing, transportation, and assembly by province based on transportation and logistics constraints.</t>
  </si>
  <si>
    <t>Module width/height is constrained by bridge clearances, turning radii, and road widths (Atlantic).
Modules must be designed to match available island transport equipment (NL).</t>
  </si>
  <si>
    <t>TL4</t>
  </si>
  <si>
    <t>Atlantic, NL</t>
  </si>
  <si>
    <t>Data collected on road restrictions
Number of transportation-friendly designs used</t>
  </si>
  <si>
    <t>Provincial, local</t>
  </si>
  <si>
    <t>Data collection on bridges, roads, turning radii
Mapping infrastructure conflicts
Design catalogue development
Coordination between designers, manufacturers, transport providers</t>
  </si>
  <si>
    <t>Provincial Government, Manufacturers</t>
  </si>
  <si>
    <t>Provincial Government, Technical Professionals, Manufacturers</t>
  </si>
  <si>
    <t>Develop a regional logistics framework and database map for oversized loads in collaboration with provincial and municipal transportation authorities, ferry operators, energy authorities and other groups who maintain infrastructure in the right-of-way.  (TL5)</t>
  </si>
  <si>
    <t>Ferry costs add major expense for panelized construction (NL). </t>
  </si>
  <si>
    <t>TL5</t>
  </si>
  <si>
    <t>Provincial Government, Transportation &amp; Logistics Providers</t>
  </si>
  <si>
    <t>Number of ferry trips using discounted/off-peak rates
Cost savings
On-time deliveries</t>
  </si>
  <si>
    <t>Agreements with ferry operators
Approval of subsidy program</t>
  </si>
  <si>
    <t>Site access and Storage constraints </t>
  </si>
  <si>
    <t>In parallel to TL5, identify designated transportation routes with temporary staging yards for critical projects.</t>
  </si>
  <si>
    <t>Limited staging and storage space near construction sites (Atlantic). 
Seasonal weight restrictions affecting transportation timelines (Atlantic). 
Difficult access in dense urban areas (tight roads, overhead utilities) (NS).  </t>
  </si>
  <si>
    <t>TL6</t>
  </si>
  <si>
    <t>Number of staging yards designated
Reduction in delivery delays
Improvement in on-time module deliveries</t>
  </si>
  <si>
    <t>Database of land potentiall available for staging near sites</t>
  </si>
  <si>
    <t>Provincial Government, Municipal Government, Transportation &amp; Logistics Providers</t>
  </si>
  <si>
    <t xml:space="preserve">Financing and insurance </t>
  </si>
  <si>
    <t>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</si>
</sst>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rgb="FF242424"/>
      <name val="Aptos Narrow"/>
      <family val="2"/>
    </font>
    <font>
      <sz val="8"/>
      <name val="Calibri"/>
      <family val="2"/>
      <scheme val="minor"/>
    </font>
    <font>
      <sz val="11"/>
      <color rgb="FF000000"/>
      <name val="Calibri"/>
      <family val="2"/>
    </font>
    <font>
      <sz val="10"/>
      <color rgb="FF000000"/>
      <name val="Aptos"/>
      <family val="2"/>
    </font>
    <font>
      <b/>
      <sz val="11"/>
      <color theme="1"/>
      <name val="Calibri"/>
      <family val="2"/>
      <scheme val="minor"/>
    </font>
    <font>
      <sz val="11"/>
      <color rgb="FF000000"/>
      <name val="Calibri"/>
      <charset val="1"/>
    </font>
  </fonts>
  <fills count="14">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2" borderId="0" xfId="0" applyFill="1"/>
    <xf numFmtId="0" fontId="0" fillId="0" borderId="1" xfId="0" applyBorder="1"/>
    <xf numFmtId="0" fontId="0" fillId="0" borderId="1" xfId="0" applyBorder="1" applyAlignment="1">
      <alignment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4" borderId="1" xfId="0" applyFill="1" applyBorder="1" applyAlignment="1">
      <alignment horizontal="left" vertical="center"/>
    </xf>
    <xf numFmtId="0" fontId="1" fillId="0" borderId="1" xfId="0" applyFont="1" applyBorder="1" applyAlignment="1">
      <alignment horizontal="left" vertical="center" wrapText="1"/>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7" borderId="1" xfId="0" applyFill="1" applyBorder="1" applyAlignment="1">
      <alignment horizontal="left" vertical="center"/>
    </xf>
    <xf numFmtId="0" fontId="0" fillId="8" borderId="1" xfId="0" applyFill="1" applyBorder="1" applyAlignment="1">
      <alignment horizontal="left" vertical="center"/>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0" fillId="11" borderId="1" xfId="0" applyFill="1" applyBorder="1" applyAlignment="1">
      <alignment horizontal="left" vertical="center"/>
    </xf>
    <xf numFmtId="0" fontId="0" fillId="12" borderId="1" xfId="0" applyFill="1" applyBorder="1" applyAlignment="1">
      <alignment horizontal="left" vertical="center"/>
    </xf>
    <xf numFmtId="0" fontId="0" fillId="13" borderId="1" xfId="0" applyFill="1" applyBorder="1" applyAlignment="1">
      <alignment horizontal="left" vertical="center"/>
    </xf>
    <xf numFmtId="0" fontId="0" fillId="9" borderId="2" xfId="0" applyFill="1" applyBorder="1" applyAlignment="1">
      <alignment horizontal="left" vertical="center"/>
    </xf>
    <xf numFmtId="0" fontId="4" fillId="0" borderId="1" xfId="0" applyFont="1" applyBorder="1"/>
    <xf numFmtId="0" fontId="0" fillId="0" borderId="2" xfId="0" applyBorder="1" applyAlignment="1">
      <alignment horizontal="left" vertical="center" wrapText="1"/>
    </xf>
    <xf numFmtId="0" fontId="4" fillId="0" borderId="1" xfId="0" applyFont="1" applyBorder="1" applyAlignment="1">
      <alignment wrapText="1"/>
    </xf>
    <xf numFmtId="0" fontId="5" fillId="0" borderId="1" xfId="0" applyFont="1" applyBorder="1"/>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6" fillId="0" borderId="0" xfId="0" applyFont="1"/>
    <xf numFmtId="0" fontId="0" fillId="0" borderId="2" xfId="0" applyBorder="1"/>
    <xf numFmtId="0" fontId="0" fillId="0" borderId="3" xfId="0" applyBorder="1"/>
    <xf numFmtId="0" fontId="7" fillId="0" borderId="1" xfId="0" applyFont="1" applyBorder="1"/>
    <xf numFmtId="0" fontId="0" fillId="9" borderId="3" xfId="0"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1"/>
  <sheetViews>
    <sheetView tabSelected="1" zoomScale="51" zoomScaleNormal="90" workbookViewId="0">
      <selection activeCell="C1" sqref="C1"/>
    </sheetView>
  </sheetViews>
  <sheetFormatPr defaultRowHeight="14.5" x14ac:dyDescent="0.35"/>
  <cols>
    <col min="2" max="2" width="36.7265625" style="2" customWidth="1"/>
    <col min="3" max="3" width="9.1796875" style="2" customWidth="1"/>
    <col min="4" max="4" width="111.1796875" style="3" customWidth="1"/>
    <col min="5" max="5" width="104" style="2" customWidth="1"/>
    <col min="6" max="6" width="8.81640625" style="2" customWidth="1"/>
    <col min="7" max="7" width="8.81640625" style="2"/>
    <col min="8" max="8" width="11" style="2" bestFit="1" customWidth="1"/>
    <col min="9" max="9" width="36.54296875" style="2" bestFit="1" customWidth="1"/>
    <col min="10" max="11" width="8.81640625" style="2"/>
    <col min="12" max="12" width="30.81640625" style="2" bestFit="1" customWidth="1"/>
    <col min="13" max="13" width="25.81640625" style="2" bestFit="1" customWidth="1"/>
    <col min="14" max="14" width="36.54296875" style="2" bestFit="1" customWidth="1"/>
    <col min="15" max="15" width="81.7265625" style="2" customWidth="1"/>
    <col min="16" max="16" width="36.54296875" style="2" bestFit="1" customWidth="1"/>
    <col min="17" max="17" width="16.1796875" style="2" bestFit="1" customWidth="1"/>
    <col min="18" max="18" width="26.54296875" style="2" bestFit="1" customWidth="1"/>
  </cols>
  <sheetData>
    <row r="1" spans="1:24" x14ac:dyDescent="0.35">
      <c r="A1" s="29" t="s">
        <v>0</v>
      </c>
      <c r="B1" s="4" t="s">
        <v>1</v>
      </c>
      <c r="C1" s="4" t="s">
        <v>436</v>
      </c>
      <c r="D1" s="9" t="s">
        <v>2</v>
      </c>
      <c r="E1" s="4" t="s">
        <v>3</v>
      </c>
      <c r="F1" s="4" t="s">
        <v>4</v>
      </c>
      <c r="G1" s="4" t="s">
        <v>5</v>
      </c>
      <c r="H1" s="4" t="s">
        <v>6</v>
      </c>
      <c r="I1" s="4" t="s">
        <v>7</v>
      </c>
      <c r="J1" s="4" t="s">
        <v>8</v>
      </c>
      <c r="K1" s="4" t="s">
        <v>9</v>
      </c>
      <c r="L1" s="4" t="s">
        <v>10</v>
      </c>
      <c r="M1" s="4" t="s">
        <v>11</v>
      </c>
      <c r="N1" s="4" t="s">
        <v>12</v>
      </c>
      <c r="O1" s="4" t="s">
        <v>13</v>
      </c>
      <c r="P1" s="4" t="s">
        <v>14</v>
      </c>
      <c r="Q1" s="2" t="s">
        <v>15</v>
      </c>
      <c r="R1" s="2" t="s">
        <v>16</v>
      </c>
      <c r="S1" s="2" t="s">
        <v>17</v>
      </c>
      <c r="T1" s="2" t="s">
        <v>18</v>
      </c>
      <c r="U1" s="2" t="s">
        <v>19</v>
      </c>
      <c r="V1" s="2" t="s">
        <v>20</v>
      </c>
      <c r="W1" s="2" t="s">
        <v>21</v>
      </c>
      <c r="X1" s="2" t="s">
        <v>22</v>
      </c>
    </row>
    <row r="2" spans="1:24" x14ac:dyDescent="0.35">
      <c r="A2">
        <v>1</v>
      </c>
      <c r="B2" s="15" t="s">
        <v>435</v>
      </c>
      <c r="C2" s="16" t="s">
        <v>23</v>
      </c>
      <c r="D2" s="6" t="s">
        <v>24</v>
      </c>
      <c r="E2" s="5" t="s">
        <v>25</v>
      </c>
      <c r="F2" s="5">
        <v>2026</v>
      </c>
      <c r="G2" s="5" t="s">
        <v>26</v>
      </c>
      <c r="H2" s="5" t="s">
        <v>27</v>
      </c>
      <c r="I2" s="5" t="s">
        <v>28</v>
      </c>
      <c r="J2" s="5" t="s">
        <v>29</v>
      </c>
      <c r="K2" s="5">
        <v>8</v>
      </c>
      <c r="L2" s="5" t="s">
        <v>30</v>
      </c>
      <c r="M2" s="5" t="s">
        <v>31</v>
      </c>
      <c r="N2" s="5" t="s">
        <v>32</v>
      </c>
      <c r="O2" s="5" t="s">
        <v>33</v>
      </c>
      <c r="P2" s="5" t="s">
        <v>34</v>
      </c>
      <c r="Q2" s="3" cm="1">
        <f t="array" ref="Q2">_xlfn.LET(
    _xlpm.startYear, VALUE(LEFT(F2,4)),
    _xlpm.endYear, IFERROR(VALUE(MID(F2,6,4)), _xlpm.startYear),
    _xlpm.endYear*10000 + _xlpm.startYear
)</f>
        <v>20262026</v>
      </c>
      <c r="R2" s="2" t="s">
        <v>35</v>
      </c>
      <c r="S2" t="str">
        <f t="shared" ref="S2:V21" si="0">IF(ISNUMBER(SEARCH("Independent",$R2)),"Pending","-")</f>
        <v>Pending</v>
      </c>
      <c r="T2" t="str">
        <f t="shared" si="0"/>
        <v>Pending</v>
      </c>
      <c r="U2" t="str">
        <f t="shared" si="0"/>
        <v>Pending</v>
      </c>
      <c r="V2" t="str">
        <f t="shared" si="0"/>
        <v>Pending</v>
      </c>
      <c r="W2" t="str">
        <f t="shared" ref="W2:W33" si="1">IF(ISNUMBER(SEARCH("Collaboration",$R2)),"Pending","-")</f>
        <v>-</v>
      </c>
    </row>
    <row r="3" spans="1:24" ht="58" x14ac:dyDescent="0.35">
      <c r="A3">
        <v>2</v>
      </c>
      <c r="B3" s="15" t="s">
        <v>435</v>
      </c>
      <c r="C3" s="16" t="s">
        <v>36</v>
      </c>
      <c r="D3" s="6" t="s">
        <v>37</v>
      </c>
      <c r="E3" s="6" t="s">
        <v>38</v>
      </c>
      <c r="F3" s="5">
        <v>2026</v>
      </c>
      <c r="G3" s="5" t="s">
        <v>39</v>
      </c>
      <c r="H3" s="5" t="s">
        <v>40</v>
      </c>
      <c r="I3" s="5" t="s">
        <v>41</v>
      </c>
      <c r="J3" s="5" t="s">
        <v>29</v>
      </c>
      <c r="K3" s="5">
        <v>9</v>
      </c>
      <c r="L3" s="5" t="s">
        <v>42</v>
      </c>
      <c r="M3" s="5" t="s">
        <v>43</v>
      </c>
      <c r="N3" s="5" t="s">
        <v>44</v>
      </c>
      <c r="O3" s="5" t="s">
        <v>45</v>
      </c>
      <c r="P3" s="5" t="s">
        <v>46</v>
      </c>
      <c r="Q3" s="3" cm="1">
        <f t="array" ref="Q3">_xlfn.LET(
    _xlpm.startYear, VALUE(LEFT(F3,4)),
    _xlpm.endYear, IFERROR(VALUE(MID(F3,6,4)), _xlpm.startYear),
    _xlpm.endYear*10000 + _xlpm.startYear
)</f>
        <v>20262026</v>
      </c>
      <c r="R3" s="2" t="s">
        <v>47</v>
      </c>
      <c r="S3" t="str">
        <f t="shared" si="0"/>
        <v>-</v>
      </c>
      <c r="T3" t="str">
        <f t="shared" si="0"/>
        <v>-</v>
      </c>
      <c r="U3" t="str">
        <f t="shared" si="0"/>
        <v>-</v>
      </c>
      <c r="V3" t="str">
        <f t="shared" si="0"/>
        <v>-</v>
      </c>
      <c r="W3" t="str">
        <f t="shared" si="1"/>
        <v>Pending</v>
      </c>
    </row>
    <row r="4" spans="1:24" ht="145" x14ac:dyDescent="0.35">
      <c r="A4">
        <v>3</v>
      </c>
      <c r="B4" s="15" t="s">
        <v>435</v>
      </c>
      <c r="C4" s="16" t="s">
        <v>48</v>
      </c>
      <c r="D4" s="6" t="s">
        <v>49</v>
      </c>
      <c r="E4" s="6" t="s">
        <v>50</v>
      </c>
      <c r="F4" s="5">
        <v>2026</v>
      </c>
      <c r="G4" s="5" t="s">
        <v>51</v>
      </c>
      <c r="H4" s="5" t="s">
        <v>52</v>
      </c>
      <c r="I4" s="5" t="s">
        <v>53</v>
      </c>
      <c r="J4" s="5" t="s">
        <v>54</v>
      </c>
      <c r="K4" s="5">
        <v>8</v>
      </c>
      <c r="L4" s="6" t="s">
        <v>55</v>
      </c>
      <c r="M4" s="5" t="s">
        <v>43</v>
      </c>
      <c r="N4" s="5" t="s">
        <v>56</v>
      </c>
      <c r="O4" s="5" t="s">
        <v>57</v>
      </c>
      <c r="P4" s="5" t="s">
        <v>58</v>
      </c>
      <c r="Q4" s="3" cm="1">
        <f t="array" ref="Q4">_xlfn.LET(
    _xlpm.startYear, VALUE(LEFT(F4,4)),
    _xlpm.endYear, IFERROR(VALUE(MID(F4,6,4)), _xlpm.startYear),
    _xlpm.endYear*10000 + _xlpm.startYear
)</f>
        <v>20262026</v>
      </c>
      <c r="R4" s="2" t="s">
        <v>47</v>
      </c>
      <c r="S4" t="str">
        <f t="shared" si="0"/>
        <v>-</v>
      </c>
      <c r="T4" t="str">
        <f t="shared" si="0"/>
        <v>-</v>
      </c>
      <c r="U4" t="str">
        <f t="shared" si="0"/>
        <v>-</v>
      </c>
      <c r="V4" t="str">
        <f t="shared" si="0"/>
        <v>-</v>
      </c>
      <c r="W4" t="str">
        <f t="shared" si="1"/>
        <v>Pending</v>
      </c>
    </row>
    <row r="5" spans="1:24" x14ac:dyDescent="0.35">
      <c r="A5">
        <v>4</v>
      </c>
      <c r="B5" s="15" t="s">
        <v>435</v>
      </c>
      <c r="C5" s="16" t="s">
        <v>23</v>
      </c>
      <c r="D5" s="6" t="s">
        <v>59</v>
      </c>
      <c r="E5" s="5" t="s">
        <v>60</v>
      </c>
      <c r="F5" s="5">
        <v>2027</v>
      </c>
      <c r="G5" s="5" t="s">
        <v>61</v>
      </c>
      <c r="H5" s="5" t="s">
        <v>62</v>
      </c>
      <c r="I5" s="5" t="s">
        <v>63</v>
      </c>
      <c r="J5" s="5" t="s">
        <v>29</v>
      </c>
      <c r="K5" s="5">
        <v>9</v>
      </c>
      <c r="L5" s="5" t="s">
        <v>64</v>
      </c>
      <c r="M5" s="5" t="s">
        <v>31</v>
      </c>
      <c r="N5" s="5" t="s">
        <v>65</v>
      </c>
      <c r="O5" s="5" t="s">
        <v>33</v>
      </c>
      <c r="P5" s="5" t="s">
        <v>66</v>
      </c>
      <c r="Q5" s="3" cm="1">
        <f t="array" ref="Q5">_xlfn.LET(
    _xlpm.startYear, VALUE(LEFT(F5,4)),
    _xlpm.endYear, IFERROR(VALUE(MID(F5,6,4)), _xlpm.startYear),
    _xlpm.endYear*10000 + _xlpm.startYear
)</f>
        <v>20272027</v>
      </c>
      <c r="R5" s="2" t="s">
        <v>35</v>
      </c>
      <c r="S5" t="str">
        <f t="shared" si="0"/>
        <v>Pending</v>
      </c>
      <c r="T5" t="str">
        <f t="shared" si="0"/>
        <v>Pending</v>
      </c>
      <c r="U5" t="str">
        <f t="shared" si="0"/>
        <v>Pending</v>
      </c>
      <c r="V5" t="str">
        <f t="shared" si="0"/>
        <v>Pending</v>
      </c>
      <c r="W5" t="str">
        <f t="shared" si="1"/>
        <v>-</v>
      </c>
    </row>
    <row r="6" spans="1:24" x14ac:dyDescent="0.35">
      <c r="A6">
        <v>5</v>
      </c>
      <c r="B6" s="15" t="s">
        <v>435</v>
      </c>
      <c r="C6" s="16" t="s">
        <v>23</v>
      </c>
      <c r="D6" s="6" t="s">
        <v>67</v>
      </c>
      <c r="E6" s="5" t="s">
        <v>68</v>
      </c>
      <c r="F6" s="5">
        <v>2026</v>
      </c>
      <c r="G6" s="5" t="s">
        <v>69</v>
      </c>
      <c r="H6" s="5" t="s">
        <v>40</v>
      </c>
      <c r="I6" s="5" t="s">
        <v>70</v>
      </c>
      <c r="J6" s="5" t="s">
        <v>29</v>
      </c>
      <c r="K6" s="5">
        <v>9</v>
      </c>
      <c r="L6" s="5" t="s">
        <v>71</v>
      </c>
      <c r="M6" s="5" t="s">
        <v>43</v>
      </c>
      <c r="N6" s="5" t="s">
        <v>72</v>
      </c>
      <c r="O6" s="5" t="s">
        <v>73</v>
      </c>
      <c r="P6" s="5" t="s">
        <v>74</v>
      </c>
      <c r="Q6" s="3" cm="1">
        <f t="array" ref="Q6">_xlfn.LET(
    _xlpm.startYear, VALUE(LEFT(F6,4)),
    _xlpm.endYear, IFERROR(VALUE(MID(F6,6,4)), _xlpm.startYear),
    _xlpm.endYear*10000 + _xlpm.startYear
)</f>
        <v>20262026</v>
      </c>
      <c r="R6" s="2" t="s">
        <v>47</v>
      </c>
      <c r="S6" t="str">
        <f t="shared" si="0"/>
        <v>-</v>
      </c>
      <c r="T6" t="str">
        <f t="shared" si="0"/>
        <v>-</v>
      </c>
      <c r="U6" t="str">
        <f t="shared" si="0"/>
        <v>-</v>
      </c>
      <c r="V6" t="str">
        <f t="shared" si="0"/>
        <v>-</v>
      </c>
      <c r="W6" t="str">
        <f t="shared" si="1"/>
        <v>Pending</v>
      </c>
    </row>
    <row r="7" spans="1:24" ht="29" x14ac:dyDescent="0.35">
      <c r="A7">
        <v>6</v>
      </c>
      <c r="B7" s="15" t="s">
        <v>435</v>
      </c>
      <c r="C7" s="16" t="s">
        <v>75</v>
      </c>
      <c r="D7" s="6" t="s">
        <v>76</v>
      </c>
      <c r="E7" s="6" t="s">
        <v>77</v>
      </c>
      <c r="F7" s="5">
        <v>2027</v>
      </c>
      <c r="G7" s="5" t="s">
        <v>78</v>
      </c>
      <c r="H7" s="5" t="s">
        <v>40</v>
      </c>
      <c r="I7" s="5" t="s">
        <v>79</v>
      </c>
      <c r="J7" s="5" t="s">
        <v>29</v>
      </c>
      <c r="K7" s="5">
        <v>8</v>
      </c>
      <c r="L7" s="5" t="s">
        <v>80</v>
      </c>
      <c r="M7" s="5" t="s">
        <v>81</v>
      </c>
      <c r="N7" s="5" t="s">
        <v>82</v>
      </c>
      <c r="O7" s="5" t="s">
        <v>33</v>
      </c>
      <c r="P7" s="5" t="s">
        <v>83</v>
      </c>
      <c r="Q7" s="3" cm="1">
        <f t="array" ref="Q7">_xlfn.LET(
    _xlpm.startYear, VALUE(LEFT(F7,4)),
    _xlpm.endYear, IFERROR(VALUE(MID(F7,6,4)), _xlpm.startYear),
    _xlpm.endYear*10000 + _xlpm.startYear
)</f>
        <v>20272027</v>
      </c>
      <c r="R7" s="2" t="s">
        <v>35</v>
      </c>
      <c r="S7" t="str">
        <f t="shared" si="0"/>
        <v>Pending</v>
      </c>
      <c r="T7" t="str">
        <f t="shared" si="0"/>
        <v>Pending</v>
      </c>
      <c r="U7" t="str">
        <f t="shared" si="0"/>
        <v>Pending</v>
      </c>
      <c r="V7" t="str">
        <f t="shared" si="0"/>
        <v>Pending</v>
      </c>
      <c r="W7" t="str">
        <f t="shared" si="1"/>
        <v>-</v>
      </c>
    </row>
    <row r="8" spans="1:24" ht="58" x14ac:dyDescent="0.35">
      <c r="A8">
        <v>7</v>
      </c>
      <c r="B8" s="15" t="s">
        <v>435</v>
      </c>
      <c r="C8" s="16" t="s">
        <v>84</v>
      </c>
      <c r="D8" s="6" t="s">
        <v>85</v>
      </c>
      <c r="E8" s="6" t="s">
        <v>86</v>
      </c>
      <c r="F8" s="5">
        <v>2026</v>
      </c>
      <c r="G8" s="5" t="s">
        <v>87</v>
      </c>
      <c r="H8" s="5" t="s">
        <v>40</v>
      </c>
      <c r="I8" s="5" t="s">
        <v>88</v>
      </c>
      <c r="J8" s="5" t="s">
        <v>29</v>
      </c>
      <c r="K8" s="5">
        <v>9</v>
      </c>
      <c r="L8" s="5" t="s">
        <v>89</v>
      </c>
      <c r="M8" s="5" t="s">
        <v>43</v>
      </c>
      <c r="N8" s="5" t="s">
        <v>90</v>
      </c>
      <c r="O8" s="5" t="s">
        <v>91</v>
      </c>
      <c r="P8" s="5" t="s">
        <v>92</v>
      </c>
      <c r="Q8" s="3" cm="1">
        <f t="array" ref="Q8">_xlfn.LET(
    _xlpm.startYear, VALUE(LEFT(F8,4)),
    _xlpm.endYear, IFERROR(VALUE(MID(F8,6,4)), _xlpm.startYear),
    _xlpm.endYear*10000 + _xlpm.startYear
)</f>
        <v>20262026</v>
      </c>
      <c r="R8" s="2" t="s">
        <v>47</v>
      </c>
      <c r="S8" t="str">
        <f t="shared" si="0"/>
        <v>-</v>
      </c>
      <c r="T8" t="str">
        <f t="shared" si="0"/>
        <v>-</v>
      </c>
      <c r="U8" t="str">
        <f t="shared" si="0"/>
        <v>-</v>
      </c>
      <c r="V8" t="str">
        <f t="shared" si="0"/>
        <v>-</v>
      </c>
      <c r="W8" t="str">
        <f t="shared" si="1"/>
        <v>Pending</v>
      </c>
    </row>
    <row r="9" spans="1:24" ht="29" x14ac:dyDescent="0.35">
      <c r="A9">
        <v>8</v>
      </c>
      <c r="B9" s="11" t="s">
        <v>110</v>
      </c>
      <c r="C9" s="12" t="s">
        <v>93</v>
      </c>
      <c r="D9" s="6" t="s">
        <v>94</v>
      </c>
      <c r="E9" s="5" t="s">
        <v>95</v>
      </c>
      <c r="F9" s="5">
        <v>2026</v>
      </c>
      <c r="G9" s="5" t="s">
        <v>96</v>
      </c>
      <c r="H9" s="5" t="s">
        <v>97</v>
      </c>
      <c r="I9" s="5" t="s">
        <v>98</v>
      </c>
      <c r="J9" s="5" t="s">
        <v>54</v>
      </c>
      <c r="K9" s="5">
        <v>7</v>
      </c>
      <c r="L9" s="5" t="s">
        <v>99</v>
      </c>
      <c r="M9" s="5" t="s">
        <v>100</v>
      </c>
      <c r="N9" s="5" t="s">
        <v>101</v>
      </c>
      <c r="O9" s="5" t="s">
        <v>33</v>
      </c>
      <c r="P9" s="5" t="s">
        <v>102</v>
      </c>
      <c r="Q9" s="3" cm="1">
        <f t="array" ref="Q9">_xlfn.LET(
    _xlpm.startYear, VALUE(LEFT(F9,4)),
    _xlpm.endYear, IFERROR(VALUE(MID(F9,6,4)), _xlpm.startYear),
    _xlpm.endYear*10000 + _xlpm.startYear
)</f>
        <v>20262026</v>
      </c>
      <c r="R9" s="2" t="s">
        <v>35</v>
      </c>
      <c r="S9" t="str">
        <f t="shared" si="0"/>
        <v>Pending</v>
      </c>
      <c r="T9" t="str">
        <f t="shared" si="0"/>
        <v>Pending</v>
      </c>
      <c r="U9" t="str">
        <f t="shared" si="0"/>
        <v>Pending</v>
      </c>
      <c r="V9" t="str">
        <f t="shared" si="0"/>
        <v>Pending</v>
      </c>
      <c r="W9" t="str">
        <f t="shared" si="1"/>
        <v>-</v>
      </c>
    </row>
    <row r="10" spans="1:24" x14ac:dyDescent="0.35">
      <c r="A10">
        <v>9</v>
      </c>
      <c r="B10" s="11" t="s">
        <v>110</v>
      </c>
      <c r="C10" s="12" t="s">
        <v>93</v>
      </c>
      <c r="D10" s="6" t="s">
        <v>103</v>
      </c>
      <c r="E10" s="5" t="s">
        <v>104</v>
      </c>
      <c r="F10" s="5">
        <v>2026</v>
      </c>
      <c r="G10" s="5" t="s">
        <v>105</v>
      </c>
      <c r="H10" s="5" t="s">
        <v>97</v>
      </c>
      <c r="I10" s="5" t="s">
        <v>106</v>
      </c>
      <c r="J10" s="5" t="s">
        <v>54</v>
      </c>
      <c r="K10" s="5">
        <v>6</v>
      </c>
      <c r="L10" s="5" t="s">
        <v>107</v>
      </c>
      <c r="M10" s="5" t="s">
        <v>31</v>
      </c>
      <c r="N10" s="5" t="s">
        <v>108</v>
      </c>
      <c r="O10" s="5" t="s">
        <v>33</v>
      </c>
      <c r="P10" s="5" t="s">
        <v>109</v>
      </c>
      <c r="Q10" s="3" cm="1">
        <f t="array" ref="Q10">_xlfn.LET(
    _xlpm.startYear, VALUE(LEFT(F10,4)),
    _xlpm.endYear, IFERROR(VALUE(MID(F10,6,4)), _xlpm.startYear),
    _xlpm.endYear*10000 + _xlpm.startYear
)</f>
        <v>20262026</v>
      </c>
      <c r="R10" s="2" t="s">
        <v>35</v>
      </c>
      <c r="S10" t="str">
        <f t="shared" si="0"/>
        <v>Pending</v>
      </c>
      <c r="T10" t="str">
        <f t="shared" si="0"/>
        <v>Pending</v>
      </c>
      <c r="U10" t="str">
        <f t="shared" si="0"/>
        <v>Pending</v>
      </c>
      <c r="V10" t="str">
        <f t="shared" si="0"/>
        <v>Pending</v>
      </c>
      <c r="W10" t="str">
        <f t="shared" si="1"/>
        <v>-</v>
      </c>
    </row>
    <row r="11" spans="1:24" x14ac:dyDescent="0.35">
      <c r="A11">
        <v>10</v>
      </c>
      <c r="B11" s="11" t="s">
        <v>110</v>
      </c>
      <c r="C11" s="12" t="s">
        <v>93</v>
      </c>
      <c r="D11" s="6" t="s">
        <v>111</v>
      </c>
      <c r="E11" s="5" t="s">
        <v>112</v>
      </c>
      <c r="F11" s="5">
        <v>2027</v>
      </c>
      <c r="G11" s="5" t="s">
        <v>113</v>
      </c>
      <c r="H11" s="5" t="s">
        <v>40</v>
      </c>
      <c r="I11" s="5" t="s">
        <v>114</v>
      </c>
      <c r="J11" s="5" t="s">
        <v>29</v>
      </c>
      <c r="K11" s="5">
        <v>9</v>
      </c>
      <c r="L11" s="5" t="s">
        <v>115</v>
      </c>
      <c r="M11" s="5" t="s">
        <v>43</v>
      </c>
      <c r="N11" s="5" t="s">
        <v>116</v>
      </c>
      <c r="O11" s="5" t="s">
        <v>33</v>
      </c>
      <c r="P11" s="5" t="s">
        <v>117</v>
      </c>
      <c r="Q11" s="3" cm="1">
        <f t="array" ref="Q11">_xlfn.LET(
    _xlpm.startYear, VALUE(LEFT(F11,4)),
    _xlpm.endYear, IFERROR(VALUE(MID(F11,6,4)), _xlpm.startYear),
    _xlpm.endYear*10000 + _xlpm.startYear
)</f>
        <v>20272027</v>
      </c>
      <c r="R11" t="s">
        <v>35</v>
      </c>
      <c r="S11" t="str">
        <f t="shared" si="0"/>
        <v>Pending</v>
      </c>
      <c r="T11" t="str">
        <f t="shared" si="0"/>
        <v>Pending</v>
      </c>
      <c r="U11" t="str">
        <f t="shared" si="0"/>
        <v>Pending</v>
      </c>
      <c r="V11" t="str">
        <f t="shared" si="0"/>
        <v>Pending</v>
      </c>
      <c r="W11" t="str">
        <f t="shared" si="1"/>
        <v>-</v>
      </c>
    </row>
    <row r="12" spans="1:24" ht="29" x14ac:dyDescent="0.35">
      <c r="A12">
        <v>11</v>
      </c>
      <c r="B12" s="11" t="s">
        <v>110</v>
      </c>
      <c r="C12" s="12" t="s">
        <v>118</v>
      </c>
      <c r="D12" s="6" t="s">
        <v>119</v>
      </c>
      <c r="E12" s="5" t="s">
        <v>120</v>
      </c>
      <c r="F12" s="5">
        <v>2027</v>
      </c>
      <c r="G12" s="5" t="s">
        <v>121</v>
      </c>
      <c r="H12" s="5" t="s">
        <v>40</v>
      </c>
      <c r="I12" s="5" t="s">
        <v>122</v>
      </c>
      <c r="J12" s="5" t="s">
        <v>29</v>
      </c>
      <c r="K12" s="5">
        <v>8</v>
      </c>
      <c r="L12" s="5" t="s">
        <v>123</v>
      </c>
      <c r="M12" s="5" t="s">
        <v>43</v>
      </c>
      <c r="N12" s="5" t="s">
        <v>124</v>
      </c>
      <c r="O12" s="5" t="s">
        <v>33</v>
      </c>
      <c r="P12" s="5" t="s">
        <v>125</v>
      </c>
      <c r="Q12" s="3" cm="1">
        <f t="array" ref="Q12">_xlfn.LET(
    _xlpm.startYear, VALUE(LEFT(F12,4)),
    _xlpm.endYear, IFERROR(VALUE(MID(F12,6,4)), _xlpm.startYear),
    _xlpm.endYear*10000 + _xlpm.startYear
)</f>
        <v>20272027</v>
      </c>
      <c r="R12" s="2" t="s">
        <v>47</v>
      </c>
      <c r="S12" t="str">
        <f t="shared" si="0"/>
        <v>-</v>
      </c>
      <c r="T12" t="str">
        <f t="shared" si="0"/>
        <v>-</v>
      </c>
      <c r="U12" t="str">
        <f t="shared" si="0"/>
        <v>-</v>
      </c>
      <c r="V12" t="str">
        <f t="shared" si="0"/>
        <v>-</v>
      </c>
      <c r="W12" t="str">
        <f t="shared" si="1"/>
        <v>Pending</v>
      </c>
    </row>
    <row r="13" spans="1:24" ht="29" x14ac:dyDescent="0.35">
      <c r="A13">
        <v>12</v>
      </c>
      <c r="B13" s="11" t="s">
        <v>110</v>
      </c>
      <c r="C13" s="12" t="s">
        <v>126</v>
      </c>
      <c r="D13" s="6" t="s">
        <v>127</v>
      </c>
      <c r="E13" s="5" t="s">
        <v>128</v>
      </c>
      <c r="F13" s="5">
        <v>2026</v>
      </c>
      <c r="G13" s="5" t="s">
        <v>129</v>
      </c>
      <c r="H13" s="5" t="s">
        <v>40</v>
      </c>
      <c r="I13" s="5" t="s">
        <v>130</v>
      </c>
      <c r="J13" s="5" t="s">
        <v>54</v>
      </c>
      <c r="K13" s="5">
        <v>8</v>
      </c>
      <c r="L13" s="5" t="s">
        <v>131</v>
      </c>
      <c r="M13" s="5" t="s">
        <v>43</v>
      </c>
      <c r="N13" s="5" t="s">
        <v>132</v>
      </c>
      <c r="O13" s="5" t="s">
        <v>33</v>
      </c>
      <c r="P13" s="5" t="s">
        <v>117</v>
      </c>
      <c r="Q13" s="3" cm="1">
        <f t="array" ref="Q13">_xlfn.LET(
    _xlpm.startYear, VALUE(LEFT(F13,4)),
    _xlpm.endYear, IFERROR(VALUE(MID(F13,6,4)), _xlpm.startYear),
    _xlpm.endYear*10000 + _xlpm.startYear
)</f>
        <v>20262026</v>
      </c>
      <c r="R13" s="2" t="s">
        <v>47</v>
      </c>
      <c r="S13" t="str">
        <f t="shared" si="0"/>
        <v>-</v>
      </c>
      <c r="T13" t="str">
        <f t="shared" si="0"/>
        <v>-</v>
      </c>
      <c r="U13" t="str">
        <f t="shared" si="0"/>
        <v>-</v>
      </c>
      <c r="V13" t="str">
        <f t="shared" si="0"/>
        <v>-</v>
      </c>
      <c r="W13" t="str">
        <f t="shared" si="1"/>
        <v>Pending</v>
      </c>
    </row>
    <row r="14" spans="1:24" ht="29" x14ac:dyDescent="0.35">
      <c r="A14">
        <v>13</v>
      </c>
      <c r="B14" s="11" t="s">
        <v>110</v>
      </c>
      <c r="C14" s="12" t="s">
        <v>126</v>
      </c>
      <c r="D14" s="6" t="s">
        <v>133</v>
      </c>
      <c r="E14" s="5" t="s">
        <v>134</v>
      </c>
      <c r="F14" s="5">
        <v>2026</v>
      </c>
      <c r="G14" s="5" t="s">
        <v>135</v>
      </c>
      <c r="H14" s="5" t="s">
        <v>136</v>
      </c>
      <c r="I14" s="5" t="s">
        <v>137</v>
      </c>
      <c r="J14" s="5" t="s">
        <v>54</v>
      </c>
      <c r="K14" s="5">
        <v>7</v>
      </c>
      <c r="L14" s="5" t="s">
        <v>138</v>
      </c>
      <c r="M14" s="5" t="s">
        <v>31</v>
      </c>
      <c r="N14" s="5" t="s">
        <v>139</v>
      </c>
      <c r="O14" s="5" t="s">
        <v>33</v>
      </c>
      <c r="P14" s="5" t="s">
        <v>140</v>
      </c>
      <c r="Q14" s="3" cm="1">
        <f t="array" ref="Q14">_xlfn.LET(
    _xlpm.startYear, VALUE(LEFT(F14,4)),
    _xlpm.endYear, IFERROR(VALUE(MID(F14,6,4)), _xlpm.startYear),
    _xlpm.endYear*10000 + _xlpm.startYear
)</f>
        <v>20262026</v>
      </c>
      <c r="R14" s="2" t="s">
        <v>35</v>
      </c>
      <c r="S14" t="str">
        <f t="shared" si="0"/>
        <v>Pending</v>
      </c>
      <c r="T14" t="str">
        <f t="shared" si="0"/>
        <v>Pending</v>
      </c>
      <c r="U14" t="str">
        <f t="shared" si="0"/>
        <v>Pending</v>
      </c>
      <c r="V14" t="str">
        <f t="shared" si="0"/>
        <v>Pending</v>
      </c>
      <c r="W14" t="str">
        <f t="shared" si="1"/>
        <v>-</v>
      </c>
    </row>
    <row r="15" spans="1:24" ht="29" x14ac:dyDescent="0.35">
      <c r="A15">
        <v>14</v>
      </c>
      <c r="B15" s="11" t="s">
        <v>110</v>
      </c>
      <c r="C15" s="12" t="s">
        <v>141</v>
      </c>
      <c r="D15" s="6" t="s">
        <v>142</v>
      </c>
      <c r="E15" s="5" t="s">
        <v>143</v>
      </c>
      <c r="F15" s="5">
        <v>2027</v>
      </c>
      <c r="G15" s="5" t="s">
        <v>144</v>
      </c>
      <c r="H15" s="5" t="s">
        <v>40</v>
      </c>
      <c r="I15" s="5" t="s">
        <v>145</v>
      </c>
      <c r="J15" s="5" t="s">
        <v>29</v>
      </c>
      <c r="K15" s="5">
        <v>9</v>
      </c>
      <c r="L15" s="5" t="s">
        <v>146</v>
      </c>
      <c r="M15" s="5" t="s">
        <v>43</v>
      </c>
      <c r="N15" s="5" t="s">
        <v>147</v>
      </c>
      <c r="O15" s="5" t="s">
        <v>33</v>
      </c>
      <c r="P15" s="5" t="s">
        <v>148</v>
      </c>
      <c r="Q15" s="3" cm="1">
        <f t="array" ref="Q15">_xlfn.LET(
    _xlpm.startYear, VALUE(LEFT(F15,4)),
    _xlpm.endYear, IFERROR(VALUE(MID(F15,6,4)), _xlpm.startYear),
    _xlpm.endYear*10000 + _xlpm.startYear
)</f>
        <v>20272027</v>
      </c>
      <c r="R15" s="2" t="s">
        <v>47</v>
      </c>
      <c r="S15" t="str">
        <f t="shared" si="0"/>
        <v>-</v>
      </c>
      <c r="T15" t="str">
        <f t="shared" si="0"/>
        <v>-</v>
      </c>
      <c r="U15" t="str">
        <f t="shared" si="0"/>
        <v>-</v>
      </c>
      <c r="V15" t="str">
        <f t="shared" si="0"/>
        <v>-</v>
      </c>
      <c r="W15" t="str">
        <f t="shared" si="1"/>
        <v>Pending</v>
      </c>
    </row>
    <row r="16" spans="1:24" x14ac:dyDescent="0.35">
      <c r="A16">
        <v>15</v>
      </c>
      <c r="B16" s="11" t="s">
        <v>110</v>
      </c>
      <c r="C16" s="12" t="s">
        <v>149</v>
      </c>
      <c r="D16" s="6" t="s">
        <v>150</v>
      </c>
      <c r="E16" s="5" t="s">
        <v>151</v>
      </c>
      <c r="F16" s="5">
        <v>2026</v>
      </c>
      <c r="G16" s="5" t="s">
        <v>152</v>
      </c>
      <c r="H16" s="5" t="s">
        <v>97</v>
      </c>
      <c r="I16" s="5" t="s">
        <v>153</v>
      </c>
      <c r="J16" s="5" t="s">
        <v>54</v>
      </c>
      <c r="K16" s="5">
        <v>7</v>
      </c>
      <c r="L16" s="5" t="s">
        <v>154</v>
      </c>
      <c r="M16" s="5" t="s">
        <v>31</v>
      </c>
      <c r="N16" s="5" t="s">
        <v>155</v>
      </c>
      <c r="O16" s="5" t="s">
        <v>33</v>
      </c>
      <c r="P16" s="5" t="s">
        <v>153</v>
      </c>
      <c r="Q16" s="3" cm="1">
        <f t="array" ref="Q16">_xlfn.LET(
    _xlpm.startYear, VALUE(LEFT(F16,4)),
    _xlpm.endYear, IFERROR(VALUE(MID(F16,6,4)), _xlpm.startYear),
    _xlpm.endYear*10000 + _xlpm.startYear
)</f>
        <v>20262026</v>
      </c>
      <c r="R16" s="32" t="s">
        <v>35</v>
      </c>
      <c r="S16" t="str">
        <f t="shared" si="0"/>
        <v>Pending</v>
      </c>
      <c r="T16" t="str">
        <f t="shared" si="0"/>
        <v>Pending</v>
      </c>
      <c r="U16" t="str">
        <f t="shared" si="0"/>
        <v>Pending</v>
      </c>
      <c r="V16" t="str">
        <f t="shared" si="0"/>
        <v>Pending</v>
      </c>
      <c r="W16" t="str">
        <f t="shared" si="1"/>
        <v>-</v>
      </c>
    </row>
    <row r="17" spans="1:23" ht="43.5" x14ac:dyDescent="0.35">
      <c r="A17">
        <v>16</v>
      </c>
      <c r="B17" s="11" t="s">
        <v>110</v>
      </c>
      <c r="C17" s="12" t="s">
        <v>149</v>
      </c>
      <c r="D17" s="6" t="s">
        <v>156</v>
      </c>
      <c r="E17" s="5" t="s">
        <v>157</v>
      </c>
      <c r="F17" s="5">
        <v>2027</v>
      </c>
      <c r="G17" s="5" t="s">
        <v>158</v>
      </c>
      <c r="H17" s="5" t="s">
        <v>40</v>
      </c>
      <c r="I17" s="5" t="s">
        <v>159</v>
      </c>
      <c r="J17" s="5" t="s">
        <v>29</v>
      </c>
      <c r="K17" s="5">
        <v>9</v>
      </c>
      <c r="L17" s="5" t="s">
        <v>160</v>
      </c>
      <c r="M17" s="5" t="s">
        <v>100</v>
      </c>
      <c r="N17" s="5" t="s">
        <v>161</v>
      </c>
      <c r="O17" s="5" t="s">
        <v>109</v>
      </c>
      <c r="P17" s="5" t="s">
        <v>162</v>
      </c>
      <c r="Q17" s="3" cm="1">
        <f t="array" ref="Q17">_xlfn.LET(
    _xlpm.startYear, VALUE(LEFT(F17,4)),
    _xlpm.endYear, IFERROR(VALUE(MID(F17,6,4)), _xlpm.startYear),
    _xlpm.endYear*10000 + _xlpm.startYear
)</f>
        <v>20272027</v>
      </c>
      <c r="R17" t="s">
        <v>35</v>
      </c>
      <c r="S17" t="str">
        <f t="shared" si="0"/>
        <v>Pending</v>
      </c>
      <c r="T17" t="str">
        <f t="shared" si="0"/>
        <v>Pending</v>
      </c>
      <c r="U17" t="str">
        <f t="shared" si="0"/>
        <v>Pending</v>
      </c>
      <c r="V17" t="str">
        <f t="shared" si="0"/>
        <v>Pending</v>
      </c>
      <c r="W17" t="str">
        <f t="shared" si="1"/>
        <v>-</v>
      </c>
    </row>
    <row r="18" spans="1:23" ht="29" x14ac:dyDescent="0.35">
      <c r="A18">
        <v>17</v>
      </c>
      <c r="B18" s="7" t="s">
        <v>163</v>
      </c>
      <c r="C18" s="8" t="s">
        <v>164</v>
      </c>
      <c r="D18" s="22" t="s">
        <v>165</v>
      </c>
      <c r="E18" s="20" t="s">
        <v>166</v>
      </c>
      <c r="F18" s="20">
        <v>2026</v>
      </c>
      <c r="G18" s="20" t="s">
        <v>167</v>
      </c>
      <c r="H18" s="20" t="s">
        <v>40</v>
      </c>
      <c r="I18" s="22" t="s">
        <v>168</v>
      </c>
      <c r="J18" s="20" t="s">
        <v>29</v>
      </c>
      <c r="K18" s="20">
        <v>8</v>
      </c>
      <c r="L18" s="20" t="s">
        <v>169</v>
      </c>
      <c r="M18" s="20" t="s">
        <v>81</v>
      </c>
      <c r="N18" s="20" t="s">
        <v>169</v>
      </c>
      <c r="O18" s="20" t="s">
        <v>33</v>
      </c>
      <c r="P18" s="22" t="s">
        <v>168</v>
      </c>
      <c r="Q18" s="3" cm="1">
        <f t="array" ref="Q18">_xlfn.LET(
    _xlpm.startYear, VALUE(LEFT(F18,4)),
    _xlpm.endYear, IFERROR(VALUE(MID(F18,6,4)), _xlpm.startYear),
    _xlpm.endYear*10000 + _xlpm.startYear
)</f>
        <v>20262026</v>
      </c>
      <c r="R18" s="20" t="s">
        <v>47</v>
      </c>
      <c r="S18" t="str">
        <f t="shared" si="0"/>
        <v>-</v>
      </c>
      <c r="T18" t="str">
        <f t="shared" si="0"/>
        <v>-</v>
      </c>
      <c r="U18" t="str">
        <f t="shared" si="0"/>
        <v>-</v>
      </c>
      <c r="V18" t="str">
        <f t="shared" si="0"/>
        <v>-</v>
      </c>
      <c r="W18" t="str">
        <f t="shared" si="1"/>
        <v>Pending</v>
      </c>
    </row>
    <row r="19" spans="1:23" ht="29" x14ac:dyDescent="0.35">
      <c r="A19">
        <v>18</v>
      </c>
      <c r="B19" s="7" t="s">
        <v>163</v>
      </c>
      <c r="C19" s="8" t="s">
        <v>164</v>
      </c>
      <c r="D19" s="6" t="s">
        <v>170</v>
      </c>
      <c r="E19" s="5" t="s">
        <v>171</v>
      </c>
      <c r="F19" s="5">
        <v>2026</v>
      </c>
      <c r="G19" s="20" t="s">
        <v>172</v>
      </c>
      <c r="H19" s="5" t="s">
        <v>40</v>
      </c>
      <c r="I19" s="5" t="s">
        <v>91</v>
      </c>
      <c r="J19" s="5" t="s">
        <v>54</v>
      </c>
      <c r="K19" s="5">
        <v>9</v>
      </c>
      <c r="L19" s="5" t="s">
        <v>173</v>
      </c>
      <c r="M19" s="5" t="s">
        <v>43</v>
      </c>
      <c r="N19" s="5" t="s">
        <v>174</v>
      </c>
      <c r="O19" s="5" t="s">
        <v>33</v>
      </c>
      <c r="P19" s="5" t="s">
        <v>91</v>
      </c>
      <c r="Q19" s="3" cm="1">
        <f t="array" ref="Q19">_xlfn.LET(
    _xlpm.startYear, VALUE(LEFT(F19,4)),
    _xlpm.endYear, IFERROR(VALUE(MID(F19,6,4)), _xlpm.startYear),
    _xlpm.endYear*10000 + _xlpm.startYear
)</f>
        <v>20262026</v>
      </c>
      <c r="R19" t="s">
        <v>35</v>
      </c>
      <c r="S19" t="str">
        <f t="shared" si="0"/>
        <v>Pending</v>
      </c>
      <c r="T19" t="str">
        <f t="shared" si="0"/>
        <v>Pending</v>
      </c>
      <c r="U19" t="str">
        <f t="shared" si="0"/>
        <v>Pending</v>
      </c>
      <c r="V19" t="str">
        <f t="shared" si="0"/>
        <v>Pending</v>
      </c>
      <c r="W19" t="str">
        <f t="shared" si="1"/>
        <v>-</v>
      </c>
    </row>
    <row r="20" spans="1:23" ht="58" x14ac:dyDescent="0.35">
      <c r="A20">
        <v>19</v>
      </c>
      <c r="B20" s="7" t="s">
        <v>163</v>
      </c>
      <c r="C20" s="8" t="s">
        <v>164</v>
      </c>
      <c r="D20" s="6" t="s">
        <v>175</v>
      </c>
      <c r="E20" s="6" t="s">
        <v>176</v>
      </c>
      <c r="F20" s="5">
        <v>2026</v>
      </c>
      <c r="G20" s="20" t="s">
        <v>177</v>
      </c>
      <c r="H20" s="5" t="s">
        <v>40</v>
      </c>
      <c r="I20" s="5" t="s">
        <v>178</v>
      </c>
      <c r="J20" s="5" t="s">
        <v>54</v>
      </c>
      <c r="K20" s="5">
        <v>9</v>
      </c>
      <c r="L20" s="5" t="s">
        <v>179</v>
      </c>
      <c r="M20" s="5" t="s">
        <v>43</v>
      </c>
      <c r="N20" s="5" t="s">
        <v>180</v>
      </c>
      <c r="O20" s="5" t="s">
        <v>33</v>
      </c>
      <c r="P20" s="5" t="s">
        <v>181</v>
      </c>
      <c r="Q20" s="3" cm="1">
        <f t="array" ref="Q20">_xlfn.LET(
    _xlpm.startYear, VALUE(LEFT(F20,4)),
    _xlpm.endYear, IFERROR(VALUE(MID(F20,6,4)), _xlpm.startYear),
    _xlpm.endYear*10000 + _xlpm.startYear
)</f>
        <v>20262026</v>
      </c>
      <c r="R20" t="s">
        <v>35</v>
      </c>
      <c r="S20" t="str">
        <f t="shared" si="0"/>
        <v>Pending</v>
      </c>
      <c r="T20" t="str">
        <f t="shared" si="0"/>
        <v>Pending</v>
      </c>
      <c r="U20" t="str">
        <f t="shared" si="0"/>
        <v>Pending</v>
      </c>
      <c r="V20" t="str">
        <f t="shared" si="0"/>
        <v>Pending</v>
      </c>
      <c r="W20" t="str">
        <f t="shared" si="1"/>
        <v>-</v>
      </c>
    </row>
    <row r="21" spans="1:23" ht="29" x14ac:dyDescent="0.35">
      <c r="A21">
        <v>20</v>
      </c>
      <c r="B21" s="7" t="s">
        <v>163</v>
      </c>
      <c r="C21" s="8" t="s">
        <v>164</v>
      </c>
      <c r="D21" s="6" t="s">
        <v>182</v>
      </c>
      <c r="E21" s="5" t="s">
        <v>183</v>
      </c>
      <c r="F21" s="5">
        <v>2026</v>
      </c>
      <c r="G21" s="20" t="s">
        <v>184</v>
      </c>
      <c r="H21" s="5" t="s">
        <v>40</v>
      </c>
      <c r="I21" s="5" t="s">
        <v>185</v>
      </c>
      <c r="J21" s="5" t="s">
        <v>54</v>
      </c>
      <c r="K21" s="5">
        <v>9</v>
      </c>
      <c r="L21" s="5" t="s">
        <v>186</v>
      </c>
      <c r="M21" s="5" t="s">
        <v>43</v>
      </c>
      <c r="N21" s="5" t="s">
        <v>187</v>
      </c>
      <c r="O21" s="5" t="s">
        <v>33</v>
      </c>
      <c r="P21" s="5" t="s">
        <v>181</v>
      </c>
      <c r="Q21" s="3" cm="1">
        <f t="array" ref="Q21">_xlfn.LET(
    _xlpm.startYear, VALUE(LEFT(F21,4)),
    _xlpm.endYear, IFERROR(VALUE(MID(F21,6,4)), _xlpm.startYear),
    _xlpm.endYear*10000 + _xlpm.startYear
)</f>
        <v>20262026</v>
      </c>
      <c r="R21" t="s">
        <v>35</v>
      </c>
      <c r="S21" t="str">
        <f t="shared" si="0"/>
        <v>Pending</v>
      </c>
      <c r="T21" t="str">
        <f t="shared" si="0"/>
        <v>Pending</v>
      </c>
      <c r="U21" t="str">
        <f t="shared" si="0"/>
        <v>Pending</v>
      </c>
      <c r="V21" t="str">
        <f t="shared" si="0"/>
        <v>Pending</v>
      </c>
      <c r="W21" t="str">
        <f t="shared" si="1"/>
        <v>-</v>
      </c>
    </row>
    <row r="22" spans="1:23" ht="29" x14ac:dyDescent="0.35">
      <c r="A22">
        <v>21</v>
      </c>
      <c r="B22" s="7" t="s">
        <v>163</v>
      </c>
      <c r="C22" s="8" t="s">
        <v>164</v>
      </c>
      <c r="D22" s="6" t="s">
        <v>188</v>
      </c>
      <c r="E22" s="5" t="s">
        <v>189</v>
      </c>
      <c r="F22" s="5">
        <v>2026</v>
      </c>
      <c r="G22" s="20" t="s">
        <v>190</v>
      </c>
      <c r="H22" s="5" t="s">
        <v>191</v>
      </c>
      <c r="I22" s="5" t="s">
        <v>185</v>
      </c>
      <c r="J22" s="5" t="s">
        <v>54</v>
      </c>
      <c r="K22" s="5">
        <v>7</v>
      </c>
      <c r="L22" s="5" t="s">
        <v>192</v>
      </c>
      <c r="M22" s="5" t="s">
        <v>31</v>
      </c>
      <c r="N22" s="5" t="s">
        <v>193</v>
      </c>
      <c r="O22" s="5" t="s">
        <v>33</v>
      </c>
      <c r="P22" s="5" t="s">
        <v>181</v>
      </c>
      <c r="Q22" s="3" cm="1">
        <f t="array" ref="Q22">_xlfn.LET(
    _xlpm.startYear, VALUE(LEFT(F22,4)),
    _xlpm.endYear, IFERROR(VALUE(MID(F22,6,4)), _xlpm.startYear),
    _xlpm.endYear*10000 + _xlpm.startYear
)</f>
        <v>20262026</v>
      </c>
      <c r="R22" t="s">
        <v>35</v>
      </c>
      <c r="S22" t="str">
        <f t="shared" ref="S22:V41" si="2">IF(ISNUMBER(SEARCH("Independent",$R22)),"Pending","-")</f>
        <v>Pending</v>
      </c>
      <c r="T22" t="str">
        <f t="shared" si="2"/>
        <v>Pending</v>
      </c>
      <c r="U22" t="str">
        <f t="shared" si="2"/>
        <v>Pending</v>
      </c>
      <c r="V22" t="str">
        <f t="shared" si="2"/>
        <v>Pending</v>
      </c>
      <c r="W22" t="str">
        <f t="shared" si="1"/>
        <v>-</v>
      </c>
    </row>
    <row r="23" spans="1:23" ht="29" x14ac:dyDescent="0.35">
      <c r="A23">
        <v>22</v>
      </c>
      <c r="B23" s="7" t="s">
        <v>163</v>
      </c>
      <c r="C23" s="8" t="s">
        <v>164</v>
      </c>
      <c r="D23" s="6" t="s">
        <v>194</v>
      </c>
      <c r="E23" s="5" t="s">
        <v>195</v>
      </c>
      <c r="F23" s="5">
        <v>2026</v>
      </c>
      <c r="G23" s="20" t="s">
        <v>196</v>
      </c>
      <c r="H23" s="5" t="s">
        <v>191</v>
      </c>
      <c r="I23" s="5" t="s">
        <v>197</v>
      </c>
      <c r="J23" s="5" t="s">
        <v>29</v>
      </c>
      <c r="K23" s="5">
        <v>7</v>
      </c>
      <c r="L23" s="5" t="s">
        <v>198</v>
      </c>
      <c r="M23" s="5" t="s">
        <v>31</v>
      </c>
      <c r="N23" s="5" t="s">
        <v>199</v>
      </c>
      <c r="O23" s="5" t="s">
        <v>33</v>
      </c>
      <c r="P23" s="5" t="s">
        <v>200</v>
      </c>
      <c r="Q23" s="3" cm="1">
        <f t="array" ref="Q23">_xlfn.LET(
    _xlpm.startYear, VALUE(LEFT(F23,4)),
    _xlpm.endYear, IFERROR(VALUE(MID(F23,6,4)), _xlpm.startYear),
    _xlpm.endYear*10000 + _xlpm.startYear
)</f>
        <v>20262026</v>
      </c>
      <c r="R23" s="32" t="s">
        <v>35</v>
      </c>
      <c r="S23" t="str">
        <f t="shared" si="2"/>
        <v>Pending</v>
      </c>
      <c r="T23" t="str">
        <f t="shared" si="2"/>
        <v>Pending</v>
      </c>
      <c r="U23" t="str">
        <f t="shared" si="2"/>
        <v>Pending</v>
      </c>
      <c r="V23" t="str">
        <f t="shared" si="2"/>
        <v>Pending</v>
      </c>
      <c r="W23" t="str">
        <f t="shared" si="1"/>
        <v>-</v>
      </c>
    </row>
    <row r="24" spans="1:23" ht="29" x14ac:dyDescent="0.35">
      <c r="A24">
        <v>23</v>
      </c>
      <c r="B24" s="7" t="s">
        <v>163</v>
      </c>
      <c r="C24" s="8" t="s">
        <v>164</v>
      </c>
      <c r="D24" s="6" t="s">
        <v>201</v>
      </c>
      <c r="E24" s="5" t="s">
        <v>202</v>
      </c>
      <c r="F24" s="34" t="s">
        <v>203</v>
      </c>
      <c r="G24" s="20" t="s">
        <v>204</v>
      </c>
      <c r="H24" s="35" t="s">
        <v>62</v>
      </c>
      <c r="I24" s="35" t="s">
        <v>205</v>
      </c>
      <c r="J24" s="35" t="s">
        <v>29</v>
      </c>
      <c r="K24" s="35">
        <v>8</v>
      </c>
      <c r="L24" s="35" t="s">
        <v>206</v>
      </c>
      <c r="M24" s="35" t="s">
        <v>43</v>
      </c>
      <c r="N24" s="35" t="s">
        <v>207</v>
      </c>
      <c r="O24" s="35" t="s">
        <v>33</v>
      </c>
      <c r="P24" s="35" t="s">
        <v>145</v>
      </c>
      <c r="Q24" s="3" cm="1">
        <f t="array" ref="Q24">_xlfn.LET(
    _xlpm.startYear, VALUE(LEFT(F24,4)),
    _xlpm.endYear, IFERROR(VALUE(MID(F24,6,4)), _xlpm.startYear),
    _xlpm.endYear*10000 + _xlpm.startYear
)</f>
        <v>20282026</v>
      </c>
      <c r="R24" s="2" t="s">
        <v>47</v>
      </c>
      <c r="S24" t="str">
        <f t="shared" si="2"/>
        <v>-</v>
      </c>
      <c r="T24" t="str">
        <f t="shared" si="2"/>
        <v>-</v>
      </c>
      <c r="U24" t="str">
        <f t="shared" si="2"/>
        <v>-</v>
      </c>
      <c r="V24" t="str">
        <f t="shared" si="2"/>
        <v>-</v>
      </c>
      <c r="W24" t="str">
        <f t="shared" si="1"/>
        <v>Pending</v>
      </c>
    </row>
    <row r="25" spans="1:23" ht="29" x14ac:dyDescent="0.35">
      <c r="A25">
        <v>24</v>
      </c>
      <c r="B25" s="7" t="s">
        <v>163</v>
      </c>
      <c r="C25" s="10" t="s">
        <v>208</v>
      </c>
      <c r="D25" s="6" t="s">
        <v>209</v>
      </c>
      <c r="E25" s="5" t="s">
        <v>210</v>
      </c>
      <c r="F25" s="5">
        <v>2026</v>
      </c>
      <c r="G25" s="20" t="s">
        <v>211</v>
      </c>
      <c r="H25" s="5" t="s">
        <v>40</v>
      </c>
      <c r="I25" s="5" t="s">
        <v>70</v>
      </c>
      <c r="J25" s="5" t="s">
        <v>29</v>
      </c>
      <c r="K25" s="5">
        <v>9</v>
      </c>
      <c r="L25" s="5" t="s">
        <v>212</v>
      </c>
      <c r="M25" s="5" t="s">
        <v>43</v>
      </c>
      <c r="N25" s="5" t="s">
        <v>213</v>
      </c>
      <c r="O25" s="5" t="s">
        <v>73</v>
      </c>
      <c r="P25" s="5" t="s">
        <v>74</v>
      </c>
      <c r="Q25" s="3" cm="1">
        <f t="array" ref="Q25">_xlfn.LET(
    _xlpm.startYear, VALUE(LEFT(F25,4)),
    _xlpm.endYear, IFERROR(VALUE(MID(F25,6,4)), _xlpm.startYear),
    _xlpm.endYear*10000 + _xlpm.startYear
)</f>
        <v>20262026</v>
      </c>
      <c r="R25" s="2" t="s">
        <v>35</v>
      </c>
      <c r="S25" t="str">
        <f t="shared" si="2"/>
        <v>Pending</v>
      </c>
      <c r="T25" t="str">
        <f t="shared" si="2"/>
        <v>Pending</v>
      </c>
      <c r="U25" t="str">
        <f t="shared" si="2"/>
        <v>Pending</v>
      </c>
      <c r="V25" t="str">
        <f t="shared" si="2"/>
        <v>Pending</v>
      </c>
      <c r="W25" t="str">
        <f t="shared" si="1"/>
        <v>-</v>
      </c>
    </row>
    <row r="26" spans="1:23" x14ac:dyDescent="0.35">
      <c r="A26">
        <v>25</v>
      </c>
      <c r="B26" s="7" t="s">
        <v>163</v>
      </c>
      <c r="C26" s="8" t="s">
        <v>208</v>
      </c>
      <c r="D26" s="6" t="s">
        <v>214</v>
      </c>
      <c r="E26" s="5" t="s">
        <v>215</v>
      </c>
      <c r="F26" s="5">
        <v>2026</v>
      </c>
      <c r="G26" s="20" t="s">
        <v>216</v>
      </c>
      <c r="H26" s="5" t="s">
        <v>217</v>
      </c>
      <c r="I26" s="5" t="s">
        <v>218</v>
      </c>
      <c r="J26" s="5" t="s">
        <v>54</v>
      </c>
      <c r="K26" s="5">
        <v>9</v>
      </c>
      <c r="L26" s="5" t="s">
        <v>219</v>
      </c>
      <c r="M26" s="5" t="s">
        <v>31</v>
      </c>
      <c r="N26" s="5" t="s">
        <v>220</v>
      </c>
      <c r="O26" s="5" t="s">
        <v>33</v>
      </c>
      <c r="P26" s="5" t="s">
        <v>221</v>
      </c>
      <c r="Q26" s="3" cm="1">
        <f t="array" ref="Q26">_xlfn.LET(
    _xlpm.startYear, VALUE(LEFT(F26,4)),
    _xlpm.endYear, IFERROR(VALUE(MID(F26,6,4)), _xlpm.startYear),
    _xlpm.endYear*10000 + _xlpm.startYear
)</f>
        <v>20262026</v>
      </c>
      <c r="R26" s="32" t="s">
        <v>35</v>
      </c>
      <c r="S26" t="str">
        <f t="shared" si="2"/>
        <v>Pending</v>
      </c>
      <c r="T26" t="str">
        <f t="shared" si="2"/>
        <v>Pending</v>
      </c>
      <c r="U26" t="str">
        <f t="shared" si="2"/>
        <v>Pending</v>
      </c>
      <c r="V26" t="str">
        <f t="shared" si="2"/>
        <v>Pending</v>
      </c>
      <c r="W26" t="str">
        <f t="shared" si="1"/>
        <v>-</v>
      </c>
    </row>
    <row r="27" spans="1:23" x14ac:dyDescent="0.35">
      <c r="A27">
        <v>26</v>
      </c>
      <c r="B27" s="7" t="s">
        <v>163</v>
      </c>
      <c r="C27" s="8" t="s">
        <v>208</v>
      </c>
      <c r="D27" s="6" t="s">
        <v>222</v>
      </c>
      <c r="E27" s="5" t="s">
        <v>223</v>
      </c>
      <c r="F27" s="5">
        <v>2026</v>
      </c>
      <c r="G27" s="20" t="s">
        <v>224</v>
      </c>
      <c r="H27" s="5" t="s">
        <v>97</v>
      </c>
      <c r="I27" s="5" t="s">
        <v>225</v>
      </c>
      <c r="J27" s="5" t="s">
        <v>54</v>
      </c>
      <c r="K27" s="5">
        <v>8</v>
      </c>
      <c r="L27" s="5" t="s">
        <v>226</v>
      </c>
      <c r="M27" s="5" t="s">
        <v>31</v>
      </c>
      <c r="N27" s="5" t="s">
        <v>227</v>
      </c>
      <c r="O27" s="5" t="s">
        <v>33</v>
      </c>
      <c r="P27" s="5" t="s">
        <v>74</v>
      </c>
      <c r="Q27" s="3" cm="1">
        <f t="array" ref="Q27">_xlfn.LET(
    _xlpm.startYear, VALUE(LEFT(F27,4)),
    _xlpm.endYear, IFERROR(VALUE(MID(F27,6,4)), _xlpm.startYear),
    _xlpm.endYear*10000 + _xlpm.startYear
)</f>
        <v>20262026</v>
      </c>
      <c r="R27" s="32" t="s">
        <v>35</v>
      </c>
      <c r="S27" t="str">
        <f t="shared" si="2"/>
        <v>Pending</v>
      </c>
      <c r="T27" t="str">
        <f t="shared" si="2"/>
        <v>Pending</v>
      </c>
      <c r="U27" t="str">
        <f t="shared" si="2"/>
        <v>Pending</v>
      </c>
      <c r="V27" t="str">
        <f t="shared" si="2"/>
        <v>Pending</v>
      </c>
      <c r="W27" t="str">
        <f t="shared" si="1"/>
        <v>-</v>
      </c>
    </row>
    <row r="28" spans="1:23" ht="29" x14ac:dyDescent="0.35">
      <c r="A28">
        <v>27</v>
      </c>
      <c r="B28" s="7" t="s">
        <v>163</v>
      </c>
      <c r="C28" s="8" t="s">
        <v>228</v>
      </c>
      <c r="D28" s="6" t="s">
        <v>229</v>
      </c>
      <c r="E28" s="5" t="s">
        <v>230</v>
      </c>
      <c r="F28" s="5">
        <v>2026</v>
      </c>
      <c r="G28" s="20" t="s">
        <v>231</v>
      </c>
      <c r="H28" s="5" t="s">
        <v>40</v>
      </c>
      <c r="I28" s="5" t="s">
        <v>232</v>
      </c>
      <c r="J28" s="5" t="s">
        <v>29</v>
      </c>
      <c r="K28" s="5">
        <v>9</v>
      </c>
      <c r="L28" s="5" t="s">
        <v>233</v>
      </c>
      <c r="M28" s="5" t="s">
        <v>43</v>
      </c>
      <c r="N28" s="5" t="s">
        <v>169</v>
      </c>
      <c r="O28" s="5" t="s">
        <v>33</v>
      </c>
      <c r="P28" s="5" t="s">
        <v>234</v>
      </c>
      <c r="Q28" s="3" cm="1">
        <f t="array" ref="Q28">_xlfn.LET(
    _xlpm.startYear, VALUE(LEFT(F28,4)),
    _xlpm.endYear, IFERROR(VALUE(MID(F28,6,4)), _xlpm.startYear),
    _xlpm.endYear*10000 + _xlpm.startYear
)</f>
        <v>20262026</v>
      </c>
      <c r="R28" s="32" t="s">
        <v>35</v>
      </c>
      <c r="S28" t="str">
        <f t="shared" si="2"/>
        <v>Pending</v>
      </c>
      <c r="T28" t="str">
        <f t="shared" si="2"/>
        <v>Pending</v>
      </c>
      <c r="U28" t="str">
        <f t="shared" si="2"/>
        <v>Pending</v>
      </c>
      <c r="V28" t="str">
        <f t="shared" si="2"/>
        <v>Pending</v>
      </c>
      <c r="W28" t="str">
        <f t="shared" si="1"/>
        <v>-</v>
      </c>
    </row>
    <row r="29" spans="1:23" ht="29" x14ac:dyDescent="0.35">
      <c r="A29">
        <v>28</v>
      </c>
      <c r="B29" s="7" t="s">
        <v>163</v>
      </c>
      <c r="C29" s="8" t="s">
        <v>235</v>
      </c>
      <c r="D29" s="20" t="s">
        <v>236</v>
      </c>
      <c r="E29" s="20" t="s">
        <v>237</v>
      </c>
      <c r="F29" s="20">
        <v>2027</v>
      </c>
      <c r="G29" s="20" t="s">
        <v>238</v>
      </c>
      <c r="H29" s="20" t="s">
        <v>40</v>
      </c>
      <c r="I29" s="22" t="s">
        <v>168</v>
      </c>
      <c r="J29" s="20" t="s">
        <v>29</v>
      </c>
      <c r="K29" s="20">
        <v>8</v>
      </c>
      <c r="L29" s="20" t="s">
        <v>169</v>
      </c>
      <c r="M29" s="20" t="s">
        <v>239</v>
      </c>
      <c r="N29" s="20" t="s">
        <v>169</v>
      </c>
      <c r="O29" s="20" t="s">
        <v>240</v>
      </c>
      <c r="P29" s="22" t="s">
        <v>168</v>
      </c>
      <c r="Q29" s="3" cm="1">
        <f t="array" ref="Q29">_xlfn.LET(
    _xlpm.startYear, VALUE(LEFT(F29,4)),
    _xlpm.endYear, IFERROR(VALUE(MID(F29,6,4)), _xlpm.startYear),
    _xlpm.endYear*10000 + _xlpm.startYear
)</f>
        <v>20272027</v>
      </c>
      <c r="R29" s="20" t="s">
        <v>47</v>
      </c>
      <c r="S29" t="str">
        <f t="shared" si="2"/>
        <v>-</v>
      </c>
      <c r="T29" t="str">
        <f t="shared" si="2"/>
        <v>-</v>
      </c>
      <c r="U29" t="str">
        <f t="shared" si="2"/>
        <v>-</v>
      </c>
      <c r="V29" t="str">
        <f t="shared" si="2"/>
        <v>-</v>
      </c>
      <c r="W29" t="str">
        <f t="shared" si="1"/>
        <v>Pending</v>
      </c>
    </row>
    <row r="30" spans="1:23" x14ac:dyDescent="0.35">
      <c r="A30">
        <v>29</v>
      </c>
      <c r="B30" s="7" t="s">
        <v>163</v>
      </c>
      <c r="C30" s="8" t="s">
        <v>241</v>
      </c>
      <c r="D30" s="6" t="s">
        <v>242</v>
      </c>
      <c r="E30" s="5" t="s">
        <v>243</v>
      </c>
      <c r="F30" s="5">
        <v>2026</v>
      </c>
      <c r="G30" s="20" t="s">
        <v>244</v>
      </c>
      <c r="H30" s="5" t="s">
        <v>40</v>
      </c>
      <c r="I30" s="5" t="s">
        <v>245</v>
      </c>
      <c r="J30" s="5" t="s">
        <v>54</v>
      </c>
      <c r="K30" s="5">
        <v>8</v>
      </c>
      <c r="L30" s="5" t="s">
        <v>246</v>
      </c>
      <c r="M30" s="5" t="s">
        <v>43</v>
      </c>
      <c r="N30" s="5" t="s">
        <v>247</v>
      </c>
      <c r="O30" s="5" t="s">
        <v>109</v>
      </c>
      <c r="P30" s="5" t="s">
        <v>181</v>
      </c>
      <c r="Q30" s="3" cm="1">
        <f t="array" ref="Q30">_xlfn.LET(
    _xlpm.startYear, VALUE(LEFT(F30,4)),
    _xlpm.endYear, IFERROR(VALUE(MID(F30,6,4)), _xlpm.startYear),
    _xlpm.endYear*10000 + _xlpm.startYear
)</f>
        <v>20262026</v>
      </c>
      <c r="R30" s="32" t="s">
        <v>35</v>
      </c>
      <c r="S30" t="str">
        <f t="shared" si="2"/>
        <v>Pending</v>
      </c>
      <c r="T30" t="str">
        <f t="shared" si="2"/>
        <v>Pending</v>
      </c>
      <c r="U30" t="str">
        <f t="shared" si="2"/>
        <v>Pending</v>
      </c>
      <c r="V30" t="str">
        <f t="shared" si="2"/>
        <v>Pending</v>
      </c>
      <c r="W30" t="str">
        <f t="shared" si="1"/>
        <v>-</v>
      </c>
    </row>
    <row r="31" spans="1:23" x14ac:dyDescent="0.35">
      <c r="A31">
        <v>30</v>
      </c>
      <c r="B31" s="7" t="s">
        <v>163</v>
      </c>
      <c r="C31" s="8" t="s">
        <v>241</v>
      </c>
      <c r="D31" s="6" t="s">
        <v>248</v>
      </c>
      <c r="E31" s="5" t="s">
        <v>249</v>
      </c>
      <c r="F31" s="5">
        <v>2026</v>
      </c>
      <c r="G31" s="20" t="s">
        <v>250</v>
      </c>
      <c r="H31" s="5" t="s">
        <v>97</v>
      </c>
      <c r="I31" s="5" t="s">
        <v>205</v>
      </c>
      <c r="J31" s="5" t="s">
        <v>54</v>
      </c>
      <c r="K31" s="5">
        <v>7</v>
      </c>
      <c r="L31" s="5" t="s">
        <v>251</v>
      </c>
      <c r="M31" s="5" t="s">
        <v>31</v>
      </c>
      <c r="N31" s="5" t="s">
        <v>252</v>
      </c>
      <c r="O31" s="5" t="s">
        <v>33</v>
      </c>
      <c r="P31" s="5" t="s">
        <v>148</v>
      </c>
      <c r="Q31" s="3" cm="1">
        <f t="array" ref="Q31">_xlfn.LET(
    _xlpm.startYear, VALUE(LEFT(F31,4)),
    _xlpm.endYear, IFERROR(VALUE(MID(F31,6,4)), _xlpm.startYear),
    _xlpm.endYear*10000 + _xlpm.startYear
)</f>
        <v>20262026</v>
      </c>
      <c r="R31" s="2" t="s">
        <v>47</v>
      </c>
      <c r="S31" t="str">
        <f t="shared" si="2"/>
        <v>-</v>
      </c>
      <c r="T31" t="str">
        <f t="shared" si="2"/>
        <v>-</v>
      </c>
      <c r="U31" t="str">
        <f t="shared" si="2"/>
        <v>-</v>
      </c>
      <c r="V31" t="str">
        <f t="shared" si="2"/>
        <v>-</v>
      </c>
      <c r="W31" t="str">
        <f t="shared" si="1"/>
        <v>Pending</v>
      </c>
    </row>
    <row r="32" spans="1:23" ht="29" x14ac:dyDescent="0.35">
      <c r="A32">
        <v>31</v>
      </c>
      <c r="B32" s="7" t="s">
        <v>163</v>
      </c>
      <c r="C32" s="8" t="s">
        <v>241</v>
      </c>
      <c r="D32" s="6" t="s">
        <v>253</v>
      </c>
      <c r="E32" s="5" t="s">
        <v>254</v>
      </c>
      <c r="F32" s="5">
        <v>2026</v>
      </c>
      <c r="G32" s="20" t="s">
        <v>255</v>
      </c>
      <c r="H32" s="5" t="s">
        <v>256</v>
      </c>
      <c r="I32" s="5" t="s">
        <v>257</v>
      </c>
      <c r="J32" s="5" t="s">
        <v>54</v>
      </c>
      <c r="K32" s="5">
        <v>9</v>
      </c>
      <c r="L32" s="5" t="s">
        <v>258</v>
      </c>
      <c r="M32" s="5" t="s">
        <v>81</v>
      </c>
      <c r="N32" s="5" t="s">
        <v>259</v>
      </c>
      <c r="O32" s="5" t="s">
        <v>109</v>
      </c>
      <c r="P32" s="5" t="s">
        <v>260</v>
      </c>
      <c r="Q32" s="3" cm="1">
        <f t="array" ref="Q32">_xlfn.LET(
    _xlpm.startYear, VALUE(LEFT(F32,4)),
    _xlpm.endYear, IFERROR(VALUE(MID(F32,6,4)), _xlpm.startYear),
    _xlpm.endYear*10000 + _xlpm.startYear
)</f>
        <v>20262026</v>
      </c>
      <c r="R32" s="2" t="s">
        <v>35</v>
      </c>
      <c r="S32" t="str">
        <f t="shared" si="2"/>
        <v>Pending</v>
      </c>
      <c r="T32" t="str">
        <f t="shared" si="2"/>
        <v>Pending</v>
      </c>
      <c r="U32" t="str">
        <f t="shared" si="2"/>
        <v>Pending</v>
      </c>
      <c r="V32" t="str">
        <f t="shared" si="2"/>
        <v>Pending</v>
      </c>
      <c r="W32" t="str">
        <f t="shared" si="1"/>
        <v>-</v>
      </c>
    </row>
    <row r="33" spans="1:24" x14ac:dyDescent="0.35">
      <c r="A33">
        <v>32</v>
      </c>
      <c r="B33" s="7" t="s">
        <v>163</v>
      </c>
      <c r="C33" s="8" t="s">
        <v>241</v>
      </c>
      <c r="D33" s="6" t="s">
        <v>261</v>
      </c>
      <c r="E33" s="5" t="s">
        <v>262</v>
      </c>
      <c r="F33" s="5">
        <v>2026</v>
      </c>
      <c r="G33" s="20" t="s">
        <v>263</v>
      </c>
      <c r="H33" s="5" t="s">
        <v>40</v>
      </c>
      <c r="I33" s="5" t="s">
        <v>264</v>
      </c>
      <c r="J33" s="5" t="s">
        <v>29</v>
      </c>
      <c r="K33" s="5">
        <v>8</v>
      </c>
      <c r="L33" s="5" t="s">
        <v>265</v>
      </c>
      <c r="M33" s="5" t="s">
        <v>43</v>
      </c>
      <c r="N33" s="5" t="s">
        <v>266</v>
      </c>
      <c r="O33" s="5" t="s">
        <v>33</v>
      </c>
      <c r="P33" s="5" t="s">
        <v>74</v>
      </c>
      <c r="Q33" s="3" cm="1">
        <f t="array" ref="Q33">_xlfn.LET(
    _xlpm.startYear, VALUE(LEFT(F33,4)),
    _xlpm.endYear, IFERROR(VALUE(MID(F33,6,4)), _xlpm.startYear),
    _xlpm.endYear*10000 + _xlpm.startYear
)</f>
        <v>20262026</v>
      </c>
      <c r="R33" s="2" t="s">
        <v>35</v>
      </c>
      <c r="S33" t="str">
        <f t="shared" si="2"/>
        <v>Pending</v>
      </c>
      <c r="T33" t="str">
        <f t="shared" si="2"/>
        <v>Pending</v>
      </c>
      <c r="U33" t="str">
        <f t="shared" si="2"/>
        <v>Pending</v>
      </c>
      <c r="V33" t="str">
        <f t="shared" si="2"/>
        <v>Pending</v>
      </c>
      <c r="W33" t="str">
        <f t="shared" si="1"/>
        <v>-</v>
      </c>
    </row>
    <row r="34" spans="1:24" ht="29" x14ac:dyDescent="0.35">
      <c r="A34">
        <v>33</v>
      </c>
      <c r="B34" s="7" t="s">
        <v>163</v>
      </c>
      <c r="C34" s="8" t="s">
        <v>241</v>
      </c>
      <c r="D34" s="6" t="s">
        <v>267</v>
      </c>
      <c r="E34" s="5" t="s">
        <v>268</v>
      </c>
      <c r="F34" s="6" t="s">
        <v>203</v>
      </c>
      <c r="G34" s="20" t="s">
        <v>269</v>
      </c>
      <c r="H34" s="5" t="s">
        <v>97</v>
      </c>
      <c r="I34" s="5" t="s">
        <v>205</v>
      </c>
      <c r="J34" s="5" t="s">
        <v>29</v>
      </c>
      <c r="K34" s="5">
        <v>8</v>
      </c>
      <c r="L34" s="5" t="s">
        <v>206</v>
      </c>
      <c r="M34" s="5" t="s">
        <v>43</v>
      </c>
      <c r="N34" s="5" t="s">
        <v>207</v>
      </c>
      <c r="O34" s="5" t="s">
        <v>33</v>
      </c>
      <c r="P34" s="5" t="s">
        <v>145</v>
      </c>
      <c r="Q34" s="3" cm="1">
        <f t="array" ref="Q34">_xlfn.LET(
    _xlpm.startYear, VALUE(LEFT(F34,4)),
    _xlpm.endYear, IFERROR(VALUE(MID(F34,6,4)), _xlpm.startYear),
    _xlpm.endYear*10000 + _xlpm.startYear
)</f>
        <v>20282026</v>
      </c>
      <c r="R34" s="2" t="s">
        <v>35</v>
      </c>
      <c r="S34" t="str">
        <f t="shared" si="2"/>
        <v>Pending</v>
      </c>
      <c r="T34" t="str">
        <f t="shared" si="2"/>
        <v>Pending</v>
      </c>
      <c r="U34" t="str">
        <f t="shared" si="2"/>
        <v>Pending</v>
      </c>
      <c r="V34" t="str">
        <f t="shared" si="2"/>
        <v>Pending</v>
      </c>
      <c r="W34" t="str">
        <f t="shared" ref="W34:W56" si="3">IF(ISNUMBER(SEARCH("Collaboration",$R34)),"Pending","-")</f>
        <v>-</v>
      </c>
    </row>
    <row r="35" spans="1:24" x14ac:dyDescent="0.35">
      <c r="A35">
        <v>34</v>
      </c>
      <c r="B35" s="17" t="s">
        <v>270</v>
      </c>
      <c r="C35" s="18" t="s">
        <v>271</v>
      </c>
      <c r="D35" s="6" t="s">
        <v>272</v>
      </c>
      <c r="E35" s="5" t="s">
        <v>273</v>
      </c>
      <c r="F35" s="5">
        <v>2026</v>
      </c>
      <c r="G35" s="5" t="s">
        <v>274</v>
      </c>
      <c r="H35" s="5" t="s">
        <v>40</v>
      </c>
      <c r="I35" s="5" t="s">
        <v>240</v>
      </c>
      <c r="J35" s="5" t="s">
        <v>54</v>
      </c>
      <c r="K35" s="5">
        <v>8</v>
      </c>
      <c r="L35" s="5" t="s">
        <v>275</v>
      </c>
      <c r="M35" s="5" t="s">
        <v>276</v>
      </c>
      <c r="N35" s="5" t="s">
        <v>277</v>
      </c>
      <c r="O35" s="5" t="s">
        <v>33</v>
      </c>
      <c r="P35" s="5" t="s">
        <v>278</v>
      </c>
      <c r="Q35" s="3" cm="1">
        <f t="array" ref="Q35">_xlfn.LET(
    _xlpm.startYear, VALUE(LEFT(F35,4)),
    _xlpm.endYear, IFERROR(VALUE(MID(F35,6,4)), _xlpm.startYear),
    _xlpm.endYear*10000 + _xlpm.startYear
)</f>
        <v>20262026</v>
      </c>
      <c r="R35" s="2" t="s">
        <v>47</v>
      </c>
      <c r="S35" t="str">
        <f t="shared" si="2"/>
        <v>-</v>
      </c>
      <c r="T35" t="str">
        <f t="shared" si="2"/>
        <v>-</v>
      </c>
      <c r="U35" t="str">
        <f t="shared" si="2"/>
        <v>-</v>
      </c>
      <c r="V35" t="str">
        <f t="shared" si="2"/>
        <v>-</v>
      </c>
      <c r="W35" t="str">
        <f t="shared" si="3"/>
        <v>Pending</v>
      </c>
    </row>
    <row r="36" spans="1:24" s="1" customFormat="1" x14ac:dyDescent="0.35">
      <c r="A36">
        <v>35</v>
      </c>
      <c r="B36" s="17" t="s">
        <v>270</v>
      </c>
      <c r="C36" s="18" t="s">
        <v>271</v>
      </c>
      <c r="D36" s="6" t="s">
        <v>279</v>
      </c>
      <c r="E36" s="5" t="s">
        <v>280</v>
      </c>
      <c r="F36" s="5" t="s">
        <v>281</v>
      </c>
      <c r="G36" s="5" t="s">
        <v>282</v>
      </c>
      <c r="H36" s="5" t="s">
        <v>40</v>
      </c>
      <c r="I36" s="5" t="s">
        <v>283</v>
      </c>
      <c r="J36" s="5" t="s">
        <v>54</v>
      </c>
      <c r="K36" s="5">
        <v>9</v>
      </c>
      <c r="L36" s="5" t="s">
        <v>284</v>
      </c>
      <c r="M36" s="5" t="s">
        <v>239</v>
      </c>
      <c r="N36" s="5" t="s">
        <v>285</v>
      </c>
      <c r="O36" s="5" t="s">
        <v>286</v>
      </c>
      <c r="P36" s="5" t="s">
        <v>287</v>
      </c>
      <c r="Q36" s="3" cm="1">
        <f t="array" ref="Q36">_xlfn.LET(
    _xlpm.startYear, VALUE(LEFT(F36,4)),
    _xlpm.endYear, IFERROR(VALUE(MID(F36,6,4)), _xlpm.startYear),
    _xlpm.endYear*10000 + _xlpm.startYear
)</f>
        <v>20272026</v>
      </c>
      <c r="R36" s="2" t="s">
        <v>47</v>
      </c>
      <c r="S36" t="str">
        <f t="shared" si="2"/>
        <v>-</v>
      </c>
      <c r="T36" t="str">
        <f t="shared" si="2"/>
        <v>-</v>
      </c>
      <c r="U36" t="str">
        <f t="shared" si="2"/>
        <v>-</v>
      </c>
      <c r="V36" t="str">
        <f t="shared" si="2"/>
        <v>-</v>
      </c>
      <c r="W36" t="str">
        <f t="shared" si="3"/>
        <v>Pending</v>
      </c>
      <c r="X36"/>
    </row>
    <row r="37" spans="1:24" x14ac:dyDescent="0.35">
      <c r="A37">
        <v>36</v>
      </c>
      <c r="B37" s="17" t="s">
        <v>270</v>
      </c>
      <c r="C37" s="18" t="s">
        <v>271</v>
      </c>
      <c r="D37" s="6" t="s">
        <v>288</v>
      </c>
      <c r="E37" s="5" t="s">
        <v>289</v>
      </c>
      <c r="F37" s="5" t="s">
        <v>281</v>
      </c>
      <c r="G37" s="5" t="s">
        <v>290</v>
      </c>
      <c r="H37" s="5" t="s">
        <v>40</v>
      </c>
      <c r="I37" s="5" t="s">
        <v>291</v>
      </c>
      <c r="J37" s="5" t="s">
        <v>54</v>
      </c>
      <c r="K37" s="5">
        <v>8</v>
      </c>
      <c r="L37" s="5" t="s">
        <v>292</v>
      </c>
      <c r="M37" s="5" t="s">
        <v>293</v>
      </c>
      <c r="N37" s="5" t="s">
        <v>294</v>
      </c>
      <c r="O37" s="5" t="s">
        <v>295</v>
      </c>
      <c r="P37" s="5" t="s">
        <v>296</v>
      </c>
      <c r="Q37" s="3" cm="1">
        <f t="array" ref="Q37">_xlfn.LET(
    _xlpm.startYear, VALUE(LEFT(F37,4)),
    _xlpm.endYear, IFERROR(VALUE(MID(F37,6,4)), _xlpm.startYear),
    _xlpm.endYear*10000 + _xlpm.startYear
)</f>
        <v>20272026</v>
      </c>
      <c r="R37" s="2" t="s">
        <v>47</v>
      </c>
      <c r="S37" t="str">
        <f t="shared" si="2"/>
        <v>-</v>
      </c>
      <c r="T37" t="str">
        <f t="shared" si="2"/>
        <v>-</v>
      </c>
      <c r="U37" t="str">
        <f t="shared" si="2"/>
        <v>-</v>
      </c>
      <c r="V37" t="str">
        <f t="shared" si="2"/>
        <v>-</v>
      </c>
      <c r="W37" t="str">
        <f t="shared" si="3"/>
        <v>Pending</v>
      </c>
    </row>
    <row r="38" spans="1:24" ht="29" x14ac:dyDescent="0.35">
      <c r="A38">
        <v>37</v>
      </c>
      <c r="B38" s="17" t="s">
        <v>270</v>
      </c>
      <c r="C38" s="18" t="s">
        <v>297</v>
      </c>
      <c r="D38" s="6" t="s">
        <v>298</v>
      </c>
      <c r="E38" s="6" t="s">
        <v>299</v>
      </c>
      <c r="F38" s="5">
        <v>2026</v>
      </c>
      <c r="G38" s="5" t="s">
        <v>300</v>
      </c>
      <c r="H38" s="5" t="s">
        <v>191</v>
      </c>
      <c r="I38" s="5" t="s">
        <v>301</v>
      </c>
      <c r="J38" s="5" t="s">
        <v>29</v>
      </c>
      <c r="K38" s="5">
        <v>9</v>
      </c>
      <c r="L38" s="5" t="s">
        <v>302</v>
      </c>
      <c r="M38" s="5" t="s">
        <v>303</v>
      </c>
      <c r="N38" s="5" t="s">
        <v>304</v>
      </c>
      <c r="O38" s="5" t="s">
        <v>305</v>
      </c>
      <c r="P38" s="5" t="s">
        <v>306</v>
      </c>
      <c r="Q38" s="3" cm="1">
        <f t="array" ref="Q38">_xlfn.LET(
    _xlpm.startYear, VALUE(LEFT(F38,4)),
    _xlpm.endYear, IFERROR(VALUE(MID(F38,6,4)), _xlpm.startYear),
    _xlpm.endYear*10000 + _xlpm.startYear
)</f>
        <v>20262026</v>
      </c>
      <c r="R38" s="2" t="s">
        <v>47</v>
      </c>
      <c r="S38" t="str">
        <f t="shared" si="2"/>
        <v>-</v>
      </c>
      <c r="T38" t="str">
        <f t="shared" si="2"/>
        <v>-</v>
      </c>
      <c r="U38" t="str">
        <f t="shared" si="2"/>
        <v>-</v>
      </c>
      <c r="V38" t="str">
        <f t="shared" si="2"/>
        <v>-</v>
      </c>
      <c r="W38" t="str">
        <f t="shared" si="3"/>
        <v>Pending</v>
      </c>
    </row>
    <row r="39" spans="1:24" x14ac:dyDescent="0.35">
      <c r="A39">
        <v>38</v>
      </c>
      <c r="B39" s="17" t="s">
        <v>270</v>
      </c>
      <c r="C39" s="18" t="s">
        <v>297</v>
      </c>
      <c r="D39" s="6" t="s">
        <v>307</v>
      </c>
      <c r="E39" s="5" t="s">
        <v>308</v>
      </c>
      <c r="F39" s="5">
        <v>2026</v>
      </c>
      <c r="G39" s="5" t="s">
        <v>309</v>
      </c>
      <c r="H39" s="5" t="s">
        <v>191</v>
      </c>
      <c r="I39" s="5" t="s">
        <v>310</v>
      </c>
      <c r="J39" s="5" t="s">
        <v>29</v>
      </c>
      <c r="K39" s="5">
        <v>8</v>
      </c>
      <c r="L39" s="5" t="s">
        <v>311</v>
      </c>
      <c r="M39" s="5" t="s">
        <v>81</v>
      </c>
      <c r="N39" s="5" t="s">
        <v>312</v>
      </c>
      <c r="O39" s="5" t="s">
        <v>33</v>
      </c>
      <c r="P39" s="5" t="s">
        <v>313</v>
      </c>
      <c r="Q39" s="3" cm="1">
        <f t="array" ref="Q39">_xlfn.LET(
    _xlpm.startYear, VALUE(LEFT(F39,4)),
    _xlpm.endYear, IFERROR(VALUE(MID(F39,6,4)), _xlpm.startYear),
    _xlpm.endYear*10000 + _xlpm.startYear
)</f>
        <v>20262026</v>
      </c>
      <c r="R39" s="2" t="s">
        <v>35</v>
      </c>
      <c r="S39" t="str">
        <f t="shared" si="2"/>
        <v>Pending</v>
      </c>
      <c r="T39" t="str">
        <f t="shared" si="2"/>
        <v>Pending</v>
      </c>
      <c r="U39" t="str">
        <f t="shared" si="2"/>
        <v>Pending</v>
      </c>
      <c r="V39" t="str">
        <f t="shared" si="2"/>
        <v>Pending</v>
      </c>
      <c r="W39" t="str">
        <f t="shared" si="3"/>
        <v>-</v>
      </c>
    </row>
    <row r="40" spans="1:24" x14ac:dyDescent="0.35">
      <c r="A40">
        <v>39</v>
      </c>
      <c r="B40" s="17" t="s">
        <v>270</v>
      </c>
      <c r="C40" s="18" t="s">
        <v>297</v>
      </c>
      <c r="D40" s="6" t="s">
        <v>314</v>
      </c>
      <c r="E40" s="5" t="s">
        <v>315</v>
      </c>
      <c r="F40" s="5">
        <v>2026</v>
      </c>
      <c r="G40" s="5" t="s">
        <v>316</v>
      </c>
      <c r="H40" s="5" t="s">
        <v>40</v>
      </c>
      <c r="I40" s="5" t="s">
        <v>317</v>
      </c>
      <c r="J40" s="5" t="s">
        <v>318</v>
      </c>
      <c r="K40" s="5">
        <v>8</v>
      </c>
      <c r="L40" s="5" t="s">
        <v>319</v>
      </c>
      <c r="M40" s="5" t="s">
        <v>21</v>
      </c>
      <c r="N40" s="5" t="s">
        <v>320</v>
      </c>
      <c r="O40" s="5" t="s">
        <v>45</v>
      </c>
      <c r="P40" s="5" t="s">
        <v>321</v>
      </c>
      <c r="Q40" s="3" cm="1">
        <f t="array" ref="Q40">_xlfn.LET(
    _xlpm.startYear, VALUE(LEFT(F40,4)),
    _xlpm.endYear, IFERROR(VALUE(MID(F40,6,4)), _xlpm.startYear),
    _xlpm.endYear*10000 + _xlpm.startYear
)</f>
        <v>20262026</v>
      </c>
      <c r="R40" s="2" t="s">
        <v>47</v>
      </c>
      <c r="S40" t="str">
        <f t="shared" si="2"/>
        <v>-</v>
      </c>
      <c r="T40" t="str">
        <f t="shared" si="2"/>
        <v>-</v>
      </c>
      <c r="U40" t="str">
        <f t="shared" si="2"/>
        <v>-</v>
      </c>
      <c r="V40" t="str">
        <f t="shared" si="2"/>
        <v>-</v>
      </c>
      <c r="W40" t="str">
        <f t="shared" si="3"/>
        <v>Pending</v>
      </c>
    </row>
    <row r="41" spans="1:24" ht="29" x14ac:dyDescent="0.35">
      <c r="A41">
        <v>40</v>
      </c>
      <c r="B41" s="17" t="s">
        <v>270</v>
      </c>
      <c r="C41" s="18" t="s">
        <v>297</v>
      </c>
      <c r="D41" s="23" t="s">
        <v>322</v>
      </c>
      <c r="E41" s="20" t="s">
        <v>323</v>
      </c>
      <c r="F41" s="20">
        <v>2026</v>
      </c>
      <c r="G41" s="5" t="s">
        <v>324</v>
      </c>
      <c r="H41" s="20" t="s">
        <v>40</v>
      </c>
      <c r="I41" s="22" t="s">
        <v>325</v>
      </c>
      <c r="J41" s="20" t="s">
        <v>29</v>
      </c>
      <c r="K41" s="20">
        <v>8</v>
      </c>
      <c r="L41" s="20" t="s">
        <v>169</v>
      </c>
      <c r="M41" s="20" t="s">
        <v>276</v>
      </c>
      <c r="N41" s="20" t="s">
        <v>169</v>
      </c>
      <c r="O41" s="20" t="s">
        <v>301</v>
      </c>
      <c r="P41" s="22" t="s">
        <v>301</v>
      </c>
      <c r="Q41" s="3" cm="1">
        <f t="array" ref="Q41">_xlfn.LET(
    _xlpm.startYear, VALUE(LEFT(F41,4)),
    _xlpm.endYear, IFERROR(VALUE(MID(F41,6,4)), _xlpm.startYear),
    _xlpm.endYear*10000 + _xlpm.startYear
)</f>
        <v>20262026</v>
      </c>
      <c r="R41" s="20" t="s">
        <v>47</v>
      </c>
      <c r="S41" t="str">
        <f t="shared" si="2"/>
        <v>-</v>
      </c>
      <c r="T41" t="str">
        <f t="shared" si="2"/>
        <v>-</v>
      </c>
      <c r="U41" t="str">
        <f t="shared" si="2"/>
        <v>-</v>
      </c>
      <c r="V41" t="str">
        <f t="shared" si="2"/>
        <v>-</v>
      </c>
      <c r="W41" t="str">
        <f t="shared" si="3"/>
        <v>Pending</v>
      </c>
    </row>
    <row r="42" spans="1:24" x14ac:dyDescent="0.35">
      <c r="A42">
        <v>42</v>
      </c>
      <c r="B42" s="17" t="s">
        <v>270</v>
      </c>
      <c r="C42" s="18" t="s">
        <v>297</v>
      </c>
      <c r="D42" s="6" t="s">
        <v>326</v>
      </c>
      <c r="E42" s="5" t="s">
        <v>327</v>
      </c>
      <c r="F42" s="5" t="s">
        <v>281</v>
      </c>
      <c r="G42" s="5" t="s">
        <v>328</v>
      </c>
      <c r="H42" s="5" t="s">
        <v>40</v>
      </c>
      <c r="I42" s="5" t="s">
        <v>283</v>
      </c>
      <c r="J42" s="5" t="s">
        <v>29</v>
      </c>
      <c r="K42" s="5">
        <v>9</v>
      </c>
      <c r="L42" s="5" t="s">
        <v>329</v>
      </c>
      <c r="M42" s="5" t="s">
        <v>330</v>
      </c>
      <c r="N42" s="5" t="s">
        <v>331</v>
      </c>
      <c r="O42" s="5" t="s">
        <v>286</v>
      </c>
      <c r="P42" s="5" t="s">
        <v>287</v>
      </c>
      <c r="Q42" s="3" cm="1">
        <f t="array" ref="Q42">_xlfn.LET(
    _xlpm.startYear, VALUE(LEFT(F42,4)),
    _xlpm.endYear, IFERROR(VALUE(MID(F42,6,4)), _xlpm.startYear),
    _xlpm.endYear*10000 + _xlpm.startYear
)</f>
        <v>20272026</v>
      </c>
      <c r="R42" s="2" t="s">
        <v>47</v>
      </c>
      <c r="S42" t="str">
        <f t="shared" ref="S42:V56" si="4">IF(ISNUMBER(SEARCH("Independent",$R42)),"Pending","-")</f>
        <v>-</v>
      </c>
      <c r="T42" t="str">
        <f t="shared" si="4"/>
        <v>-</v>
      </c>
      <c r="U42" t="str">
        <f t="shared" si="4"/>
        <v>-</v>
      </c>
      <c r="V42" t="str">
        <f t="shared" si="4"/>
        <v>-</v>
      </c>
      <c r="W42" t="str">
        <f t="shared" si="3"/>
        <v>Pending</v>
      </c>
      <c r="X42" s="1"/>
    </row>
    <row r="43" spans="1:24" x14ac:dyDescent="0.35">
      <c r="A43">
        <v>43</v>
      </c>
      <c r="B43" s="17" t="s">
        <v>270</v>
      </c>
      <c r="C43" s="18" t="s">
        <v>297</v>
      </c>
      <c r="D43" s="6" t="s">
        <v>332</v>
      </c>
      <c r="E43" s="5" t="s">
        <v>333</v>
      </c>
      <c r="F43" s="5">
        <v>2027</v>
      </c>
      <c r="G43" s="5" t="s">
        <v>334</v>
      </c>
      <c r="H43" s="5" t="s">
        <v>40</v>
      </c>
      <c r="I43" s="5" t="s">
        <v>335</v>
      </c>
      <c r="J43" s="5" t="s">
        <v>29</v>
      </c>
      <c r="K43" s="5">
        <v>8</v>
      </c>
      <c r="L43" s="5" t="s">
        <v>336</v>
      </c>
      <c r="M43" s="5" t="s">
        <v>337</v>
      </c>
      <c r="N43" s="5" t="s">
        <v>338</v>
      </c>
      <c r="O43" s="5" t="s">
        <v>339</v>
      </c>
      <c r="P43" s="5" t="s">
        <v>335</v>
      </c>
      <c r="Q43" s="3" cm="1">
        <f t="array" ref="Q43">_xlfn.LET(
    _xlpm.startYear, VALUE(LEFT(F43,4)),
    _xlpm.endYear, IFERROR(VALUE(MID(F43,6,4)), _xlpm.startYear),
    _xlpm.endYear*10000 + _xlpm.startYear
)</f>
        <v>20272027</v>
      </c>
      <c r="R43" s="2" t="s">
        <v>47</v>
      </c>
      <c r="S43" t="str">
        <f t="shared" si="4"/>
        <v>-</v>
      </c>
      <c r="T43" t="str">
        <f t="shared" si="4"/>
        <v>-</v>
      </c>
      <c r="U43" t="str">
        <f t="shared" si="4"/>
        <v>-</v>
      </c>
      <c r="V43" t="str">
        <f t="shared" si="4"/>
        <v>-</v>
      </c>
      <c r="W43" t="str">
        <f t="shared" si="3"/>
        <v>Pending</v>
      </c>
    </row>
    <row r="44" spans="1:24" ht="29" x14ac:dyDescent="0.35">
      <c r="A44">
        <v>44</v>
      </c>
      <c r="B44" s="17" t="s">
        <v>270</v>
      </c>
      <c r="C44" s="18" t="s">
        <v>297</v>
      </c>
      <c r="D44" s="6" t="s">
        <v>340</v>
      </c>
      <c r="E44" s="5" t="s">
        <v>341</v>
      </c>
      <c r="F44" s="5">
        <v>2027</v>
      </c>
      <c r="G44" s="5" t="s">
        <v>342</v>
      </c>
      <c r="H44" s="5" t="s">
        <v>97</v>
      </c>
      <c r="I44" s="5" t="s">
        <v>343</v>
      </c>
      <c r="J44" s="5" t="s">
        <v>54</v>
      </c>
      <c r="K44" s="5">
        <v>8</v>
      </c>
      <c r="L44" s="5" t="s">
        <v>344</v>
      </c>
      <c r="M44" s="5" t="s">
        <v>21</v>
      </c>
      <c r="N44" s="5" t="s">
        <v>345</v>
      </c>
      <c r="O44" s="5" t="s">
        <v>346</v>
      </c>
      <c r="P44" s="5" t="s">
        <v>335</v>
      </c>
      <c r="Q44" s="3" cm="1">
        <f t="array" ref="Q44">_xlfn.LET(
    _xlpm.startYear, VALUE(LEFT(F44,4)),
    _xlpm.endYear, IFERROR(VALUE(MID(F44,6,4)), _xlpm.startYear),
    _xlpm.endYear*10000 + _xlpm.startYear
)</f>
        <v>20272027</v>
      </c>
      <c r="R44" s="2" t="s">
        <v>47</v>
      </c>
      <c r="S44" t="str">
        <f t="shared" si="4"/>
        <v>-</v>
      </c>
      <c r="T44" t="str">
        <f t="shared" si="4"/>
        <v>-</v>
      </c>
      <c r="U44" t="str">
        <f t="shared" si="4"/>
        <v>-</v>
      </c>
      <c r="V44" t="str">
        <f t="shared" si="4"/>
        <v>-</v>
      </c>
      <c r="W44" t="str">
        <f t="shared" si="3"/>
        <v>Pending</v>
      </c>
    </row>
    <row r="45" spans="1:24" x14ac:dyDescent="0.35">
      <c r="A45">
        <v>45</v>
      </c>
      <c r="B45" s="17" t="s">
        <v>270</v>
      </c>
      <c r="C45" s="18" t="s">
        <v>297</v>
      </c>
      <c r="D45" s="6" t="s">
        <v>347</v>
      </c>
      <c r="E45" s="5" t="s">
        <v>348</v>
      </c>
      <c r="F45" s="5">
        <v>2027</v>
      </c>
      <c r="G45" s="5" t="s">
        <v>349</v>
      </c>
      <c r="H45" s="5" t="s">
        <v>40</v>
      </c>
      <c r="I45" s="5" t="s">
        <v>286</v>
      </c>
      <c r="J45" s="5" t="s">
        <v>318</v>
      </c>
      <c r="K45" s="5">
        <v>7</v>
      </c>
      <c r="L45" s="5" t="s">
        <v>350</v>
      </c>
      <c r="M45" s="5" t="s">
        <v>351</v>
      </c>
      <c r="N45" s="5" t="s">
        <v>352</v>
      </c>
      <c r="O45" s="5" t="s">
        <v>286</v>
      </c>
      <c r="P45" s="5" t="s">
        <v>286</v>
      </c>
      <c r="Q45" s="3" cm="1">
        <f t="array" ref="Q45">_xlfn.LET(
    _xlpm.startYear, VALUE(LEFT(F45,4)),
    _xlpm.endYear, IFERROR(VALUE(MID(F45,6,4)), _xlpm.startYear),
    _xlpm.endYear*10000 + _xlpm.startYear
)</f>
        <v>20272027</v>
      </c>
      <c r="R45" s="2" t="s">
        <v>47</v>
      </c>
      <c r="S45" t="str">
        <f t="shared" si="4"/>
        <v>-</v>
      </c>
      <c r="T45" t="str">
        <f t="shared" si="4"/>
        <v>-</v>
      </c>
      <c r="U45" t="str">
        <f t="shared" si="4"/>
        <v>-</v>
      </c>
      <c r="V45" t="str">
        <f t="shared" si="4"/>
        <v>-</v>
      </c>
      <c r="W45" t="str">
        <f t="shared" si="3"/>
        <v>Pending</v>
      </c>
    </row>
    <row r="46" spans="1:24" ht="72.5" x14ac:dyDescent="0.35">
      <c r="A46">
        <v>46</v>
      </c>
      <c r="B46" s="17" t="s">
        <v>270</v>
      </c>
      <c r="C46" s="18" t="s">
        <v>297</v>
      </c>
      <c r="D46" s="6" t="s">
        <v>353</v>
      </c>
      <c r="E46" s="6" t="s">
        <v>354</v>
      </c>
      <c r="F46" s="5">
        <v>2027</v>
      </c>
      <c r="G46" s="5" t="s">
        <v>355</v>
      </c>
      <c r="H46" s="5" t="s">
        <v>356</v>
      </c>
      <c r="I46" s="5" t="s">
        <v>357</v>
      </c>
      <c r="J46" s="5" t="s">
        <v>29</v>
      </c>
      <c r="K46" s="5">
        <v>9</v>
      </c>
      <c r="L46" s="6" t="s">
        <v>358</v>
      </c>
      <c r="M46" s="5" t="s">
        <v>100</v>
      </c>
      <c r="N46" s="6" t="s">
        <v>359</v>
      </c>
      <c r="O46" s="5" t="s">
        <v>305</v>
      </c>
      <c r="P46" s="5" t="s">
        <v>360</v>
      </c>
      <c r="Q46" s="3" cm="1">
        <f t="array" ref="Q46">_xlfn.LET(
    _xlpm.startYear, VALUE(LEFT(F46,4)),
    _xlpm.endYear, IFERROR(VALUE(MID(F46,6,4)), _xlpm.startYear),
    _xlpm.endYear*10000 + _xlpm.startYear
)</f>
        <v>20272027</v>
      </c>
      <c r="R46" s="2" t="s">
        <v>35</v>
      </c>
      <c r="S46" t="str">
        <f t="shared" si="4"/>
        <v>Pending</v>
      </c>
      <c r="T46" t="str">
        <f t="shared" si="4"/>
        <v>Pending</v>
      </c>
      <c r="U46" t="str">
        <f t="shared" si="4"/>
        <v>Pending</v>
      </c>
      <c r="V46" t="str">
        <f t="shared" si="4"/>
        <v>Pending</v>
      </c>
      <c r="W46" t="str">
        <f t="shared" si="3"/>
        <v>-</v>
      </c>
    </row>
    <row r="47" spans="1:24" ht="29" x14ac:dyDescent="0.35">
      <c r="A47">
        <v>47</v>
      </c>
      <c r="B47" s="17" t="s">
        <v>270</v>
      </c>
      <c r="C47" s="18" t="s">
        <v>297</v>
      </c>
      <c r="D47" s="23" t="s">
        <v>361</v>
      </c>
      <c r="E47" s="20" t="s">
        <v>362</v>
      </c>
      <c r="F47" s="20">
        <v>2027</v>
      </c>
      <c r="G47" s="5" t="s">
        <v>363</v>
      </c>
      <c r="H47" s="20" t="s">
        <v>40</v>
      </c>
      <c r="I47" s="22" t="s">
        <v>335</v>
      </c>
      <c r="J47" s="20" t="s">
        <v>54</v>
      </c>
      <c r="K47" s="20">
        <v>7</v>
      </c>
      <c r="L47" s="20" t="s">
        <v>169</v>
      </c>
      <c r="M47" s="20" t="s">
        <v>276</v>
      </c>
      <c r="N47" s="20" t="s">
        <v>169</v>
      </c>
      <c r="O47" s="20" t="s">
        <v>306</v>
      </c>
      <c r="P47" s="22" t="s">
        <v>325</v>
      </c>
      <c r="Q47" s="3" cm="1">
        <f t="array" ref="Q47">_xlfn.LET(
    _xlpm.startYear, VALUE(LEFT(F47,4)),
    _xlpm.endYear, IFERROR(VALUE(MID(F47,6,4)), _xlpm.startYear),
    _xlpm.endYear*10000 + _xlpm.startYear
)</f>
        <v>20272027</v>
      </c>
      <c r="R47" s="20" t="s">
        <v>47</v>
      </c>
      <c r="S47" t="str">
        <f t="shared" si="4"/>
        <v>-</v>
      </c>
      <c r="T47" t="str">
        <f t="shared" si="4"/>
        <v>-</v>
      </c>
      <c r="U47" t="str">
        <f t="shared" si="4"/>
        <v>-</v>
      </c>
      <c r="V47" t="str">
        <f t="shared" si="4"/>
        <v>-</v>
      </c>
      <c r="W47" t="str">
        <f t="shared" si="3"/>
        <v>Pending</v>
      </c>
    </row>
    <row r="48" spans="1:24" x14ac:dyDescent="0.35">
      <c r="A48">
        <v>48</v>
      </c>
      <c r="B48" s="17" t="s">
        <v>270</v>
      </c>
      <c r="C48" s="18" t="s">
        <v>364</v>
      </c>
      <c r="D48" s="6" t="s">
        <v>365</v>
      </c>
      <c r="E48" s="5" t="s">
        <v>366</v>
      </c>
      <c r="F48" s="5" t="s">
        <v>281</v>
      </c>
      <c r="G48" s="5" t="s">
        <v>367</v>
      </c>
      <c r="H48" s="5" t="s">
        <v>40</v>
      </c>
      <c r="I48" s="5" t="s">
        <v>368</v>
      </c>
      <c r="J48" s="5" t="s">
        <v>29</v>
      </c>
      <c r="K48" s="5">
        <v>9</v>
      </c>
      <c r="L48" s="5" t="s">
        <v>369</v>
      </c>
      <c r="M48" s="5" t="s">
        <v>81</v>
      </c>
      <c r="N48" s="5" t="s">
        <v>370</v>
      </c>
      <c r="O48" s="5" t="s">
        <v>371</v>
      </c>
      <c r="P48" s="5" t="s">
        <v>372</v>
      </c>
      <c r="Q48" s="3" cm="1">
        <f t="array" ref="Q48">_xlfn.LET(
    _xlpm.startYear, VALUE(LEFT(F48,4)),
    _xlpm.endYear, IFERROR(VALUE(MID(F48,6,4)), _xlpm.startYear),
    _xlpm.endYear*10000 + _xlpm.startYear
)</f>
        <v>20272026</v>
      </c>
      <c r="R48" s="2" t="s">
        <v>47</v>
      </c>
      <c r="S48" t="str">
        <f t="shared" si="4"/>
        <v>-</v>
      </c>
      <c r="T48" t="str">
        <f t="shared" si="4"/>
        <v>-</v>
      </c>
      <c r="U48" t="str">
        <f t="shared" si="4"/>
        <v>-</v>
      </c>
      <c r="V48" t="str">
        <f t="shared" si="4"/>
        <v>-</v>
      </c>
      <c r="W48" t="str">
        <f t="shared" si="3"/>
        <v>Pending</v>
      </c>
    </row>
    <row r="49" spans="1:23" x14ac:dyDescent="0.35">
      <c r="A49">
        <v>49</v>
      </c>
      <c r="B49" s="17" t="s">
        <v>270</v>
      </c>
      <c r="C49" s="18" t="s">
        <v>364</v>
      </c>
      <c r="D49" s="6" t="s">
        <v>373</v>
      </c>
      <c r="E49" s="5" t="s">
        <v>374</v>
      </c>
      <c r="F49" s="5" t="s">
        <v>281</v>
      </c>
      <c r="G49" s="5" t="s">
        <v>375</v>
      </c>
      <c r="H49" s="5" t="s">
        <v>97</v>
      </c>
      <c r="I49" s="5" t="s">
        <v>376</v>
      </c>
      <c r="J49" s="5" t="s">
        <v>54</v>
      </c>
      <c r="K49" s="5">
        <v>8</v>
      </c>
      <c r="L49" s="5" t="s">
        <v>377</v>
      </c>
      <c r="M49" s="5" t="s">
        <v>81</v>
      </c>
      <c r="N49" s="5" t="s">
        <v>378</v>
      </c>
      <c r="O49" s="5" t="s">
        <v>371</v>
      </c>
      <c r="P49" s="5" t="s">
        <v>376</v>
      </c>
      <c r="Q49" s="3" cm="1">
        <f t="array" ref="Q49">_xlfn.LET(
    _xlpm.startYear, VALUE(LEFT(F49,4)),
    _xlpm.endYear, IFERROR(VALUE(MID(F49,6,4)), _xlpm.startYear),
    _xlpm.endYear*10000 + _xlpm.startYear
)</f>
        <v>20272026</v>
      </c>
      <c r="R49" s="2" t="s">
        <v>35</v>
      </c>
      <c r="S49" t="str">
        <f t="shared" si="4"/>
        <v>Pending</v>
      </c>
      <c r="T49" t="str">
        <f t="shared" si="4"/>
        <v>Pending</v>
      </c>
      <c r="U49" t="str">
        <f t="shared" si="4"/>
        <v>Pending</v>
      </c>
      <c r="V49" t="str">
        <f t="shared" si="4"/>
        <v>Pending</v>
      </c>
      <c r="W49" t="str">
        <f t="shared" si="3"/>
        <v>-</v>
      </c>
    </row>
    <row r="50" spans="1:23" x14ac:dyDescent="0.35">
      <c r="A50">
        <v>50</v>
      </c>
      <c r="B50" s="17" t="s">
        <v>270</v>
      </c>
      <c r="C50" s="18" t="s">
        <v>364</v>
      </c>
      <c r="D50" s="6" t="s">
        <v>379</v>
      </c>
      <c r="E50" s="5" t="s">
        <v>380</v>
      </c>
      <c r="F50" s="5">
        <v>2027</v>
      </c>
      <c r="G50" s="5" t="s">
        <v>381</v>
      </c>
      <c r="H50" s="5" t="s">
        <v>40</v>
      </c>
      <c r="I50" s="5" t="s">
        <v>287</v>
      </c>
      <c r="J50" s="5" t="s">
        <v>318</v>
      </c>
      <c r="K50" s="5">
        <v>9</v>
      </c>
      <c r="L50" s="5" t="s">
        <v>382</v>
      </c>
      <c r="M50" s="5" t="s">
        <v>383</v>
      </c>
      <c r="N50" s="5" t="s">
        <v>384</v>
      </c>
      <c r="O50" s="5" t="s">
        <v>286</v>
      </c>
      <c r="P50" s="5" t="s">
        <v>287</v>
      </c>
      <c r="Q50" s="3" cm="1">
        <f t="array" ref="Q50">_xlfn.LET(
    _xlpm.startYear, VALUE(LEFT(F50,4)),
    _xlpm.endYear, IFERROR(VALUE(MID(F50,6,4)), _xlpm.startYear),
    _xlpm.endYear*10000 + _xlpm.startYear
)</f>
        <v>20272027</v>
      </c>
      <c r="R50" s="2" t="s">
        <v>47</v>
      </c>
      <c r="S50" t="str">
        <f t="shared" si="4"/>
        <v>-</v>
      </c>
      <c r="T50" t="str">
        <f t="shared" si="4"/>
        <v>-</v>
      </c>
      <c r="U50" t="str">
        <f t="shared" si="4"/>
        <v>-</v>
      </c>
      <c r="V50" t="str">
        <f t="shared" si="4"/>
        <v>-</v>
      </c>
      <c r="W50" t="str">
        <f t="shared" si="3"/>
        <v>Pending</v>
      </c>
    </row>
    <row r="51" spans="1:23" x14ac:dyDescent="0.35">
      <c r="A51">
        <v>51</v>
      </c>
      <c r="B51" s="13" t="s">
        <v>385</v>
      </c>
      <c r="C51" s="14" t="s">
        <v>386</v>
      </c>
      <c r="D51" s="6" t="s">
        <v>387</v>
      </c>
      <c r="E51" s="5" t="s">
        <v>388</v>
      </c>
      <c r="F51" s="5">
        <v>2026</v>
      </c>
      <c r="G51" s="5" t="s">
        <v>389</v>
      </c>
      <c r="H51" s="5" t="s">
        <v>40</v>
      </c>
      <c r="I51" s="5" t="s">
        <v>390</v>
      </c>
      <c r="J51" s="5" t="s">
        <v>54</v>
      </c>
      <c r="K51" s="5">
        <v>7</v>
      </c>
      <c r="L51" s="5" t="s">
        <v>391</v>
      </c>
      <c r="M51" s="5" t="s">
        <v>392</v>
      </c>
      <c r="N51" s="5" t="s">
        <v>393</v>
      </c>
      <c r="O51" s="5" t="s">
        <v>394</v>
      </c>
      <c r="P51" s="5" t="s">
        <v>395</v>
      </c>
      <c r="Q51" s="3" cm="1">
        <f t="array" ref="Q51">_xlfn.LET(
    _xlpm.startYear, VALUE(LEFT(F51,4)),
    _xlpm.endYear, IFERROR(VALUE(MID(F51,6,4)), _xlpm.startYear),
    _xlpm.endYear*10000 + _xlpm.startYear
)</f>
        <v>20262026</v>
      </c>
      <c r="R51" s="2" t="s">
        <v>35</v>
      </c>
      <c r="S51" t="str">
        <f t="shared" si="4"/>
        <v>Pending</v>
      </c>
      <c r="T51" t="str">
        <f t="shared" si="4"/>
        <v>Pending</v>
      </c>
      <c r="U51" t="str">
        <f t="shared" si="4"/>
        <v>Pending</v>
      </c>
      <c r="V51" t="str">
        <f t="shared" si="4"/>
        <v>Pending</v>
      </c>
      <c r="W51" t="str">
        <f t="shared" si="3"/>
        <v>-</v>
      </c>
    </row>
    <row r="52" spans="1:23" ht="58" x14ac:dyDescent="0.35">
      <c r="A52">
        <v>52</v>
      </c>
      <c r="B52" s="13" t="s">
        <v>385</v>
      </c>
      <c r="C52" s="14" t="s">
        <v>386</v>
      </c>
      <c r="D52" s="6" t="s">
        <v>396</v>
      </c>
      <c r="E52" s="6" t="s">
        <v>397</v>
      </c>
      <c r="F52" s="5">
        <v>2027</v>
      </c>
      <c r="G52" s="5" t="s">
        <v>398</v>
      </c>
      <c r="H52" s="5" t="s">
        <v>40</v>
      </c>
      <c r="I52" s="5" t="s">
        <v>399</v>
      </c>
      <c r="J52" s="5" t="s">
        <v>54</v>
      </c>
      <c r="K52" s="5">
        <v>8</v>
      </c>
      <c r="L52" s="6" t="s">
        <v>400</v>
      </c>
      <c r="M52" s="5" t="s">
        <v>401</v>
      </c>
      <c r="N52" s="5" t="s">
        <v>402</v>
      </c>
      <c r="O52" s="5" t="s">
        <v>306</v>
      </c>
      <c r="P52" s="5" t="s">
        <v>403</v>
      </c>
      <c r="Q52" s="3" cm="1">
        <f t="array" ref="Q52">_xlfn.LET(
    _xlpm.startYear, VALUE(LEFT(F52,4)),
    _xlpm.endYear, IFERROR(VALUE(MID(F52,6,4)), _xlpm.startYear),
    _xlpm.endYear*10000 + _xlpm.startYear
)</f>
        <v>20272027</v>
      </c>
      <c r="R52" s="2" t="s">
        <v>47</v>
      </c>
      <c r="S52" t="str">
        <f t="shared" si="4"/>
        <v>-</v>
      </c>
      <c r="T52" t="str">
        <f t="shared" si="4"/>
        <v>-</v>
      </c>
      <c r="U52" t="str">
        <f t="shared" si="4"/>
        <v>-</v>
      </c>
      <c r="V52" t="str">
        <f t="shared" si="4"/>
        <v>-</v>
      </c>
      <c r="W52" t="str">
        <f t="shared" si="3"/>
        <v>Pending</v>
      </c>
    </row>
    <row r="53" spans="1:23" x14ac:dyDescent="0.35">
      <c r="A53">
        <v>53</v>
      </c>
      <c r="B53" s="13" t="s">
        <v>385</v>
      </c>
      <c r="C53" s="19" t="s">
        <v>404</v>
      </c>
      <c r="D53" s="21" t="s">
        <v>405</v>
      </c>
      <c r="E53" s="25" t="s">
        <v>406</v>
      </c>
      <c r="F53" s="25">
        <v>2026</v>
      </c>
      <c r="G53" s="5" t="s">
        <v>407</v>
      </c>
      <c r="H53" s="25" t="s">
        <v>40</v>
      </c>
      <c r="I53" s="25" t="s">
        <v>408</v>
      </c>
      <c r="J53" s="25" t="s">
        <v>29</v>
      </c>
      <c r="K53" s="25">
        <v>9</v>
      </c>
      <c r="L53" s="25" t="s">
        <v>409</v>
      </c>
      <c r="M53" s="25" t="s">
        <v>410</v>
      </c>
      <c r="N53" s="25" t="s">
        <v>411</v>
      </c>
      <c r="O53" s="25" t="s">
        <v>109</v>
      </c>
      <c r="P53" s="25" t="s">
        <v>412</v>
      </c>
      <c r="Q53" s="3" cm="1">
        <f t="array" ref="Q53">_xlfn.LET(
    _xlpm.startYear, VALUE(LEFT(F53,4)),
    _xlpm.endYear, IFERROR(VALUE(MID(F53,6,4)), _xlpm.startYear),
    _xlpm.endYear*10000 + _xlpm.startYear
)</f>
        <v>20262026</v>
      </c>
      <c r="R53" s="30" t="s">
        <v>47</v>
      </c>
      <c r="S53" t="str">
        <f t="shared" si="4"/>
        <v>-</v>
      </c>
      <c r="T53" t="str">
        <f t="shared" si="4"/>
        <v>-</v>
      </c>
      <c r="U53" t="str">
        <f t="shared" si="4"/>
        <v>-</v>
      </c>
      <c r="V53" t="str">
        <f t="shared" si="4"/>
        <v>-</v>
      </c>
      <c r="W53" t="str">
        <f t="shared" si="3"/>
        <v>Pending</v>
      </c>
    </row>
    <row r="54" spans="1:23" ht="87" x14ac:dyDescent="0.35">
      <c r="A54">
        <v>54</v>
      </c>
      <c r="B54" s="13" t="s">
        <v>385</v>
      </c>
      <c r="C54" s="19" t="s">
        <v>404</v>
      </c>
      <c r="D54" s="21" t="s">
        <v>413</v>
      </c>
      <c r="E54" s="21" t="s">
        <v>414</v>
      </c>
      <c r="F54" s="25">
        <v>2027</v>
      </c>
      <c r="G54" s="5" t="s">
        <v>415</v>
      </c>
      <c r="H54" s="25" t="s">
        <v>416</v>
      </c>
      <c r="I54" s="21" t="s">
        <v>122</v>
      </c>
      <c r="J54" s="25" t="s">
        <v>29</v>
      </c>
      <c r="K54" s="25">
        <v>7</v>
      </c>
      <c r="L54" s="21" t="s">
        <v>417</v>
      </c>
      <c r="M54" s="25" t="s">
        <v>418</v>
      </c>
      <c r="N54" s="21" t="s">
        <v>419</v>
      </c>
      <c r="O54" s="27" t="s">
        <v>420</v>
      </c>
      <c r="P54" s="28" t="s">
        <v>421</v>
      </c>
      <c r="Q54" s="3" cm="1">
        <f t="array" ref="Q54">_xlfn.LET(
    _xlpm.startYear, VALUE(LEFT(F54,4)),
    _xlpm.endYear, IFERROR(VALUE(MID(F54,6,4)), _xlpm.startYear),
    _xlpm.endYear*10000 + _xlpm.startYear
)</f>
        <v>20272027</v>
      </c>
      <c r="R54" s="30" t="s">
        <v>35</v>
      </c>
      <c r="S54" t="str">
        <f t="shared" si="4"/>
        <v>Pending</v>
      </c>
      <c r="T54" t="str">
        <f t="shared" si="4"/>
        <v>Pending</v>
      </c>
      <c r="U54" t="str">
        <f t="shared" si="4"/>
        <v>Pending</v>
      </c>
      <c r="V54" t="str">
        <f t="shared" si="4"/>
        <v>Pending</v>
      </c>
      <c r="W54" t="str">
        <f t="shared" si="3"/>
        <v>-</v>
      </c>
    </row>
    <row r="55" spans="1:23" ht="43.5" x14ac:dyDescent="0.35">
      <c r="A55">
        <v>55</v>
      </c>
      <c r="B55" s="13" t="s">
        <v>385</v>
      </c>
      <c r="C55" s="19" t="s">
        <v>404</v>
      </c>
      <c r="D55" s="21" t="s">
        <v>422</v>
      </c>
      <c r="E55" s="25" t="s">
        <v>423</v>
      </c>
      <c r="F55" s="25">
        <v>2027</v>
      </c>
      <c r="G55" s="5" t="s">
        <v>424</v>
      </c>
      <c r="H55" s="25" t="s">
        <v>136</v>
      </c>
      <c r="I55" s="25" t="s">
        <v>425</v>
      </c>
      <c r="J55" s="25" t="s">
        <v>54</v>
      </c>
      <c r="K55" s="25">
        <v>8</v>
      </c>
      <c r="L55" s="25" t="s">
        <v>426</v>
      </c>
      <c r="M55" s="25" t="s">
        <v>31</v>
      </c>
      <c r="N55" s="25" t="s">
        <v>427</v>
      </c>
      <c r="O55" s="25" t="s">
        <v>425</v>
      </c>
      <c r="P55" s="25" t="s">
        <v>425</v>
      </c>
      <c r="Q55" s="3" cm="1">
        <f t="array" ref="Q55">_xlfn.LET(
    _xlpm.startYear, VALUE(LEFT(F55,4)),
    _xlpm.endYear, IFERROR(VALUE(MID(F55,6,4)), _xlpm.startYear),
    _xlpm.endYear*10000 + _xlpm.startYear
)</f>
        <v>20272027</v>
      </c>
      <c r="R55" s="30" t="s">
        <v>47</v>
      </c>
      <c r="S55" t="str">
        <f t="shared" si="4"/>
        <v>-</v>
      </c>
      <c r="T55" t="str">
        <f t="shared" si="4"/>
        <v>-</v>
      </c>
      <c r="U55" t="str">
        <f t="shared" si="4"/>
        <v>-</v>
      </c>
      <c r="V55" t="str">
        <f t="shared" si="4"/>
        <v>-</v>
      </c>
      <c r="W55" t="str">
        <f t="shared" si="3"/>
        <v>Pending</v>
      </c>
    </row>
    <row r="56" spans="1:23" ht="72.5" x14ac:dyDescent="0.35">
      <c r="A56">
        <v>56</v>
      </c>
      <c r="B56" s="13" t="s">
        <v>385</v>
      </c>
      <c r="C56" s="33" t="s">
        <v>428</v>
      </c>
      <c r="D56" s="24" t="s">
        <v>429</v>
      </c>
      <c r="E56" s="24" t="s">
        <v>430</v>
      </c>
      <c r="F56" s="26">
        <v>2026</v>
      </c>
      <c r="G56" s="5" t="s">
        <v>431</v>
      </c>
      <c r="H56" s="26" t="s">
        <v>52</v>
      </c>
      <c r="I56" s="26" t="s">
        <v>343</v>
      </c>
      <c r="J56" s="26" t="s">
        <v>318</v>
      </c>
      <c r="K56" s="26">
        <v>8</v>
      </c>
      <c r="L56" s="24" t="s">
        <v>432</v>
      </c>
      <c r="M56" s="26" t="s">
        <v>100</v>
      </c>
      <c r="N56" s="24" t="s">
        <v>433</v>
      </c>
      <c r="O56" s="26" t="s">
        <v>33</v>
      </c>
      <c r="P56" s="24" t="s">
        <v>434</v>
      </c>
      <c r="Q56" s="3" cm="1">
        <f t="array" ref="Q56">_xlfn.LET(
    _xlpm.startYear, VALUE(LEFT(F56,4)),
    _xlpm.endYear, IFERROR(VALUE(MID(F56,6,4)), _xlpm.startYear),
    _xlpm.endYear*10000 + _xlpm.startYear
)</f>
        <v>20262026</v>
      </c>
      <c r="R56" s="31" t="s">
        <v>35</v>
      </c>
      <c r="S56" t="str">
        <f t="shared" si="4"/>
        <v>Pending</v>
      </c>
      <c r="T56" t="str">
        <f t="shared" si="4"/>
        <v>Pending</v>
      </c>
      <c r="U56" t="str">
        <f t="shared" si="4"/>
        <v>Pending</v>
      </c>
      <c r="V56" t="str">
        <f t="shared" si="4"/>
        <v>Pending</v>
      </c>
      <c r="W56" t="str">
        <f t="shared" si="3"/>
        <v>-</v>
      </c>
    </row>
    <row r="57" spans="1:23" x14ac:dyDescent="0.35">
      <c r="Q57" s="3"/>
    </row>
    <row r="58" spans="1:23" x14ac:dyDescent="0.35">
      <c r="Q58" s="3"/>
    </row>
    <row r="59" spans="1:23" x14ac:dyDescent="0.35">
      <c r="Q59" s="3"/>
    </row>
    <row r="60" spans="1:23" x14ac:dyDescent="0.35">
      <c r="Q60" s="3"/>
    </row>
    <row r="61" spans="1:23" x14ac:dyDescent="0.35">
      <c r="Q61" s="3"/>
    </row>
    <row r="62" spans="1:23" x14ac:dyDescent="0.35">
      <c r="Q62" s="3"/>
    </row>
    <row r="63" spans="1:23" x14ac:dyDescent="0.35">
      <c r="Q63" s="3"/>
    </row>
    <row r="64" spans="1:23" x14ac:dyDescent="0.35">
      <c r="Q64" s="3"/>
    </row>
    <row r="65" spans="17:17" x14ac:dyDescent="0.35">
      <c r="Q65" s="3"/>
    </row>
    <row r="66" spans="17:17" x14ac:dyDescent="0.35">
      <c r="Q66" s="3"/>
    </row>
    <row r="67" spans="17:17" x14ac:dyDescent="0.35">
      <c r="Q67" s="3"/>
    </row>
    <row r="68" spans="17:17" x14ac:dyDescent="0.35">
      <c r="Q68" s="3"/>
    </row>
    <row r="69" spans="17:17" x14ac:dyDescent="0.35">
      <c r="Q69" s="3"/>
    </row>
    <row r="70" spans="17:17" x14ac:dyDescent="0.35">
      <c r="Q70" s="3"/>
    </row>
    <row r="71" spans="17:17" x14ac:dyDescent="0.35">
      <c r="Q71" s="3"/>
    </row>
  </sheetData>
  <autoFilter ref="B1:B71" xr:uid="{00000000-0001-0000-0000-000000000000}"/>
  <sortState xmlns:xlrd2="http://schemas.microsoft.com/office/spreadsheetml/2017/richdata2" ref="A2:X56">
    <sortCondition ref="A2:A56"/>
  </sortState>
  <phoneticPr fontId="3" type="noConversion"/>
  <conditionalFormatting sqref="D57:D1048576 D1:D52">
    <cfRule type="duplicateValues" dxfId="0" priority="1"/>
  </conditionalFormatting>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5376d577ce70c4e2488a8c30613b595c">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c7fa45745f42974ae0b96ee293ceb4ed"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8A8C9C-3A2C-4999-B9F6-17042F0B179B}">
  <ds:schemaRefs>
    <ds:schemaRef ds:uri="http://schemas.microsoft.com/office/2006/metadata/properties"/>
    <ds:schemaRef ds:uri="http://schemas.microsoft.com/office/infopath/2007/PartnerControls"/>
    <ds:schemaRef ds:uri="97b66f12-2b99-4af9-8dd0-4615ba9e34cf"/>
    <ds:schemaRef ds:uri="682daa6a-fc4e-47a4-bc9a-068fc2d76523"/>
  </ds:schemaRefs>
</ds:datastoreItem>
</file>

<file path=customXml/itemProps2.xml><?xml version="1.0" encoding="utf-8"?>
<ds:datastoreItem xmlns:ds="http://schemas.openxmlformats.org/officeDocument/2006/customXml" ds:itemID="{FEFE4A72-27E5-4496-848E-BC6B5EFC5633}">
  <ds:schemaRefs>
    <ds:schemaRef ds:uri="http://schemas.microsoft.com/sharepoint/v3/contenttype/forms"/>
  </ds:schemaRefs>
</ds:datastoreItem>
</file>

<file path=customXml/itemProps3.xml><?xml version="1.0" encoding="utf-8"?>
<ds:datastoreItem xmlns:ds="http://schemas.openxmlformats.org/officeDocument/2006/customXml" ds:itemID="{455B7A34-2EA9-4C1D-A0AB-D965C4504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Scout Chisholm McKee</cp:lastModifiedBy>
  <cp:revision/>
  <dcterms:created xsi:type="dcterms:W3CDTF">2026-02-04T12:29:27Z</dcterms:created>
  <dcterms:modified xsi:type="dcterms:W3CDTF">2026-02-18T20:37:39Z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